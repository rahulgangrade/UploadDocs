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autoCompressPictures="0"/>
  <mc:AlternateContent xmlns:mc="http://schemas.openxmlformats.org/markup-compatibility/2006">
    <mc:Choice Requires="x15">
      <x15ac:absPath xmlns:x15ac="http://schemas.microsoft.com/office/spreadsheetml/2010/11/ac" url="C:\Users\Rahul\Downloads\"/>
    </mc:Choice>
  </mc:AlternateContent>
  <xr:revisionPtr revIDLastSave="0" documentId="13_ncr:1_{1526729D-68CA-4009-BDA4-74557DFBF287}" xr6:coauthVersionLast="47" xr6:coauthVersionMax="47" xr10:uidLastSave="{00000000-0000-0000-0000-000000000000}"/>
  <bookViews>
    <workbookView xWindow="28680" yWindow="-120" windowWidth="29040" windowHeight="15720" tabRatio="734" firstSheet="1" activeTab="5" xr2:uid="{00000000-000D-0000-FFFF-FFFF00000000}"/>
  </bookViews>
  <sheets>
    <sheet name="Dashboard Data" sheetId="75" state="veryHidden" r:id="rId1"/>
    <sheet name="Project Dashboard" sheetId="94" r:id="rId2"/>
    <sheet name="GanttDashboardTemplate" sheetId="3" state="veryHidden" r:id="rId3"/>
    <sheet name="GanttSettingsTemplate" sheetId="90" state="veryHidden" r:id="rId4"/>
    <sheet name="PivotSheet" sheetId="89" state="veryHidden" r:id="rId5"/>
    <sheet name="Project Plan" sheetId="93" r:id="rId6"/>
    <sheet name="Help" sheetId="7" r:id="rId7"/>
    <sheet name="RS1" sheetId="91" state="veryHidden" r:id="rId8"/>
    <sheet name="GS1" sheetId="92" state="veryHidden" r:id="rId9"/>
  </sheets>
  <functionGroups builtInGroupCount="19"/>
  <definedNames>
    <definedName name="BI">#REF!</definedName>
    <definedName name="H">#REF!</definedName>
    <definedName name="NativeTimeline_EED">#N/A</definedName>
    <definedName name="_xlnm.Print_Area" localSheetId="2">GanttDashboardTemplate!$B$1:$G$44</definedName>
    <definedName name="_xlnm.Print_Area" localSheetId="1">'Project Dashboard'!$B$1:$G$44</definedName>
    <definedName name="_xlnm.Print_Titles" localSheetId="2">GanttDashboardTemplate!$2:$2</definedName>
    <definedName name="_xlnm.Print_Titles" localSheetId="1">'Project Dashboard'!$2:$2</definedName>
    <definedName name="Slicer_Priority">#N/A</definedName>
    <definedName name="Slicer_Resource">#N/A</definedName>
    <definedName name="Slicer_Status">#N/A</definedName>
    <definedName name="VGD">#REF!</definedName>
  </definedNames>
  <calcPr calcId="191029" calcMode="manual"/>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E2" i="75" l="1"/>
  <c r="BE3" i="75"/>
  <c r="BE4" i="75"/>
  <c r="BE5" i="75"/>
  <c r="BE6" i="75"/>
  <c r="BE7" i="75"/>
  <c r="BE8" i="75"/>
  <c r="BE9" i="75"/>
  <c r="BE10" i="75"/>
  <c r="E13" i="94"/>
  <c r="E12" i="94"/>
  <c r="E11" i="94"/>
  <c r="E10" i="94"/>
  <c r="E9" i="94"/>
  <c r="E7" i="94"/>
  <c r="E6" i="94"/>
  <c r="E5" i="94"/>
  <c r="AZ2" i="94"/>
  <c r="BA2" i="94" s="1"/>
  <c r="D18" i="94" s="1"/>
  <c r="AX2" i="94"/>
  <c r="AV2" i="94" s="1"/>
  <c r="E4" i="94" s="1"/>
  <c r="E13" i="3"/>
  <c r="E12" i="3"/>
  <c r="E11" i="3"/>
  <c r="E10" i="3"/>
  <c r="E9" i="3"/>
  <c r="E7" i="3"/>
  <c r="E6" i="3"/>
  <c r="E5" i="3"/>
  <c r="AZ2" i="3"/>
  <c r="BA2" i="3" s="1"/>
  <c r="D18" i="3" s="1"/>
  <c r="AX2" i="3"/>
  <c r="AY2" i="3" s="1"/>
  <c r="AV2" i="3"/>
  <c r="E4" i="3" s="1"/>
  <c r="AT2" i="3"/>
  <c r="AS2" i="3"/>
  <c r="AY2" i="94" l="1"/>
</calcChain>
</file>

<file path=xl/sharedStrings.xml><?xml version="1.0" encoding="utf-8"?>
<sst xmlns="http://schemas.openxmlformats.org/spreadsheetml/2006/main" count="843" uniqueCount="338">
  <si>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</si>
  <si>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</si>
  <si>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</si>
  <si>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</si>
  <si>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</si>
  <si>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</si>
  <si>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</si>
  <si>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</si>
  <si>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</si>
  <si>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</si>
  <si>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</si>
  <si>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</si>
  <si>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</si>
  <si>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</si>
  <si>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</si>
  <si>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</si>
  <si>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</si>
  <si>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</si>
  <si>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</si>
  <si>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</si>
  <si>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</si>
  <si>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</si>
  <si>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</si>
  <si>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</si>
  <si>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</si>
  <si>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</si>
  <si>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</si>
  <si>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</si>
  <si>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</si>
  <si>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</si>
  <si>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</si>
  <si>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</si>
  <si>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</si>
  <si>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</si>
  <si>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</si>
  <si>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</si>
  <si>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</si>
  <si>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</si>
  <si>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</si>
  <si>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</si>
  <si>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</si>
  <si>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</si>
  <si>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</si>
  <si>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</si>
  <si>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</si>
  <si>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</si>
  <si>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</si>
  <si>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</si>
  <si>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</si>
  <si>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</si>
  <si>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</si>
  <si>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</si>
  <si>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</si>
  <si>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</si>
  <si>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</si>
  <si>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</si>
  <si>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</si>
  <si>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</si>
  <si>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</si>
  <si>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</si>
  <si>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</si>
  <si>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</si>
  <si>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</si>
  <si>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</si>
  <si>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</si>
  <si>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</si>
  <si>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</si>
  <si>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</si>
  <si>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</si>
  <si>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</si>
  <si>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</si>
  <si>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</si>
  <si>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</si>
  <si>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</si>
  <si>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</si>
  <si>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</si>
  <si>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</si>
  <si>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</si>
  <si>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</si>
  <si>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</si>
  <si>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</si>
  <si>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</si>
  <si>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</si>
  <si>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</si>
  <si>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</si>
  <si>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</si>
  <si>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</si>
  <si>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</si>
  <si>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</si>
  <si>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</si>
  <si>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</si>
  <si>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</si>
  <si>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</si>
  <si>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</si>
  <si>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</si>
  <si>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</si>
  <si>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</si>
  <si>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</si>
  <si>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</si>
  <si>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</si>
  <si>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</si>
  <si>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</si>
  <si>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</si>
  <si>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</si>
  <si>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</si>
  <si>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</si>
  <si>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</si>
  <si>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</si>
  <si>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</si>
  <si>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</si>
  <si>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</si>
  <si>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</si>
  <si>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</si>
  <si>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</si>
  <si>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</si>
  <si>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</si>
  <si>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</si>
  <si>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</si>
  <si>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</si>
  <si>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</si>
  <si>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</si>
  <si>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</si>
  <si>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</si>
  <si>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</si>
  <si>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</si>
  <si>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</si>
  <si>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</si>
  <si>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</si>
  <si>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</si>
  <si>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</si>
  <si>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</si>
  <si>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</si>
  <si>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</si>
  <si>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</si>
  <si>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</si>
  <si>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</si>
  <si>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</si>
  <si>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</si>
  <si>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</si>
  <si>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</si>
  <si>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</si>
  <si>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</si>
  <si>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</si>
  <si>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</si>
  <si>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</si>
  <si>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</si>
  <si>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</si>
  <si>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</si>
  <si>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</si>
  <si>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</si>
  <si>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</si>
  <si>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</si>
  <si>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</si>
  <si>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</si>
  <si>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</si>
  <si>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</si>
  <si>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</si>
  <si>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</si>
  <si>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</si>
  <si>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</si>
  <si>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</si>
  <si>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</si>
  <si>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</si>
  <si>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</si>
  <si>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</si>
  <si>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</si>
  <si>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</si>
  <si>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</si>
  <si>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</si>
  <si>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</si>
  <si>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</si>
  <si>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</si>
  <si>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</si>
  <si>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</si>
  <si>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</si>
  <si>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</si>
  <si>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</si>
  <si>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</si>
  <si>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</si>
  <si>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</si>
  <si>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</si>
  <si>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</si>
  <si>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</si>
  <si>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</si>
  <si>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</si>
  <si>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</si>
  <si>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</si>
  <si>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</si>
  <si>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</si>
  <si>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</si>
  <si>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</si>
  <si>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</si>
  <si>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</si>
  <si>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</si>
  <si>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</si>
  <si>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</si>
  <si>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</si>
  <si>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</si>
  <si>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</si>
  <si>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</si>
  <si>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</si>
  <si>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</si>
  <si>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</si>
  <si>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</si>
  <si>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</si>
  <si>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</si>
  <si>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</si>
  <si>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</si>
  <si>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</si>
  <si>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</si>
  <si>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</si>
  <si>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</si>
  <si>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</si>
  <si>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</si>
  <si>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</si>
  <si>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</si>
  <si>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</si>
  <si>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</si>
  <si>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</si>
  <si>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</si>
  <si>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</si>
  <si>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</si>
  <si>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</si>
  <si>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</si>
  <si>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</si>
  <si>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</si>
  <si>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</si>
  <si>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</si>
  <si>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</si>
  <si>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</si>
  <si>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</si>
  <si>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</si>
  <si>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</si>
  <si>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</si>
  <si>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</si>
  <si>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</si>
  <si>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TRUE</t>
  </si>
  <si>
    <t>LockWB</t>
  </si>
  <si>
    <t>HiliteHolidays</t>
  </si>
  <si>
    <t>HiliteWorkOffDays</t>
  </si>
  <si>
    <t>HiliteHolidaysPR</t>
  </si>
  <si>
    <t>HiliteWorkOffDaysPR</t>
  </si>
  <si>
    <t>HideWorkOffDays</t>
  </si>
  <si>
    <t>HideNonWorkingHours</t>
  </si>
  <si>
    <t>Campaign</t>
  </si>
  <si>
    <t>Quick Start Guide</t>
  </si>
  <si>
    <t>GB3D</t>
  </si>
  <si>
    <t>For Windows Excel versions 2007 - 2024 + All versions of Microsoft 365</t>
  </si>
  <si>
    <t>cpc</t>
  </si>
  <si>
    <t>T42VP</t>
  </si>
  <si>
    <t>TR8'{1RL</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</si>
  <si>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</si>
  <si>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</si>
  <si>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</si>
  <si>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</si>
  <si>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</si>
  <si>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</si>
  <si>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</si>
  <si>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</si>
  <si>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</si>
  <si>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</si>
  <si>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</si>
  <si>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</si>
  <si>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</si>
  <si>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</si>
  <si>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</si>
  <si>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</si>
  <si>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</si>
  <si>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</si>
  <si>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</si>
  <si>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</si>
  <si>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</si>
  <si>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</si>
  <si>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</si>
  <si>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</si>
  <si>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</si>
  <si>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</si>
  <si>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</si>
  <si>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</si>
  <si>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</si>
  <si>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</si>
  <si>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</si>
  <si>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</si>
  <si>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</si>
  <si>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</si>
  <si>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</si>
  <si>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</si>
  <si>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</si>
  <si>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</si>
  <si>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</si>
  <si>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</si>
  <si>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</si>
  <si>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</si>
  <si>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</si>
  <si>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</si>
  <si>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</si>
  <si>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</si>
  <si>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</si>
  <si>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</si>
  <si>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</si>
  <si>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</si>
  <si>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</si>
  <si>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</si>
  <si>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</si>
  <si>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Rahul</t>
  </si>
  <si>
    <t>291331921059861397862913522394864013771059744140</t>
  </si>
  <si>
    <t>W1</t>
  </si>
  <si>
    <t>W2</t>
  </si>
  <si>
    <t>Task1</t>
  </si>
  <si>
    <t>xfcvvxcv</t>
  </si>
  <si>
    <t>xcfdv</t>
  </si>
  <si>
    <t>bcvfbvcdb</t>
  </si>
  <si>
    <t>bvccvbbcv</t>
  </si>
  <si>
    <t>bcvd</t>
  </si>
  <si>
    <t>vcfb</t>
  </si>
  <si>
    <t>bcv</t>
  </si>
  <si>
    <t>vcx</t>
  </si>
  <si>
    <t>UserDashSheet</t>
  </si>
  <si>
    <t>(All)</t>
  </si>
  <si>
    <t>(blank)</t>
  </si>
  <si>
    <t>15-Dec</t>
  </si>
  <si>
    <t>1</t>
  </si>
  <si>
    <t>2</t>
  </si>
  <si>
    <t>3</t>
  </si>
  <si>
    <t>4</t>
  </si>
  <si>
    <t>5</t>
  </si>
  <si>
    <t>6</t>
  </si>
  <si>
    <t>7</t>
  </si>
  <si>
    <t>8</t>
  </si>
  <si>
    <t>10</t>
  </si>
  <si>
    <t>In Progress</t>
  </si>
  <si>
    <t>InProgress</t>
  </si>
  <si>
    <t>bvdf</t>
  </si>
  <si>
    <t>W3</t>
  </si>
  <si>
    <t>W4</t>
  </si>
  <si>
    <t>W5</t>
  </si>
  <si>
    <t>W6</t>
  </si>
  <si>
    <t>W7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</si>
</sst>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00_);[Red]\(&quot;₹&quot;#,##0.00\)"/>
    <numFmt numFmtId="165" formatCode="ddd\ dd\-mmm\-yy"/>
    <numFmt numFmtId="166" formatCode="[$$-409]#,##0.00"/>
    <numFmt numFmtId="167" formatCode="&quot;₹&quot;#,##0.00"/>
  </numFmts>
  <fonts count="46"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10"/>
      <color rgb="FF009ED6"/>
      <name val="Calibri"/>
      <family val="2"/>
      <scheme val="minor"/>
    </font>
    <font>
      <sz val="10"/>
      <color rgb="FFD3D3D3"/>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3">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top/>
      <bottom style="thin">
        <color rgb="FFCCFFFF"/>
      </bottom>
      <diagonal/>
    </border>
    <border>
      <left/>
      <right/>
      <top style="thin">
        <color rgb="FFCCFFFF"/>
      </top>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style="thin">
        <color rgb="FFCCFFFF"/>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199">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0" fontId="31" fillId="0" borderId="0" xfId="0" applyFont="1"/>
    <xf numFmtId="0" fontId="32" fillId="0" borderId="5" xfId="0" applyFont="1" applyBorder="1" applyAlignment="1">
      <alignment horizontal="center" vertical="center"/>
    </xf>
    <xf numFmtId="0" fontId="32" fillId="0" borderId="6" xfId="0" applyFont="1" applyBorder="1" applyAlignment="1">
      <alignment horizontal="center" vertical="center"/>
    </xf>
    <xf numFmtId="0" fontId="32" fillId="0" borderId="6" xfId="0" applyFont="1" applyBorder="1" applyAlignment="1">
      <alignment horizontal="left" vertical="center"/>
    </xf>
    <xf numFmtId="0" fontId="33" fillId="0" borderId="6" xfId="0" applyFont="1" applyBorder="1" applyAlignment="1">
      <alignment horizontal="center" vertical="center"/>
    </xf>
    <xf numFmtId="0" fontId="32" fillId="0" borderId="6" xfId="0" applyFont="1" applyBorder="1" applyAlignment="1">
      <alignment horizontal="right" vertical="center"/>
    </xf>
    <xf numFmtId="165" fontId="32" fillId="0" borderId="6" xfId="0" applyNumberFormat="1" applyFont="1" applyBorder="1" applyAlignment="1">
      <alignment horizontal="right" vertical="center"/>
    </xf>
    <xf numFmtId="9" fontId="32" fillId="0" borderId="6" xfId="0" applyNumberFormat="1" applyFont="1" applyBorder="1" applyAlignment="1">
      <alignment horizontal="center" vertical="center"/>
    </xf>
    <xf numFmtId="0" fontId="32" fillId="0" borderId="6" xfId="0" applyFont="1" applyBorder="1" applyAlignment="1">
      <alignment horizontal="center" vertical="center" wrapText="1"/>
    </xf>
    <xf numFmtId="0" fontId="0" fillId="0" borderId="6" xfId="0" applyBorder="1"/>
    <xf numFmtId="0" fontId="32" fillId="0" borderId="5" xfId="0" applyFont="1" applyBorder="1" applyAlignment="1">
      <alignment horizontal="left" vertical="center"/>
    </xf>
    <xf numFmtId="0" fontId="33" fillId="0" borderId="5" xfId="0" applyFont="1" applyBorder="1" applyAlignment="1">
      <alignment horizontal="center" vertical="center"/>
    </xf>
    <xf numFmtId="0" fontId="32" fillId="0" borderId="5" xfId="0" applyFont="1" applyBorder="1" applyAlignment="1">
      <alignment horizontal="right" vertical="center"/>
    </xf>
    <xf numFmtId="165" fontId="32" fillId="0" borderId="5" xfId="0" applyNumberFormat="1" applyFont="1" applyBorder="1" applyAlignment="1">
      <alignment horizontal="right" vertical="center"/>
    </xf>
    <xf numFmtId="9" fontId="32" fillId="0" borderId="5" xfId="0" applyNumberFormat="1" applyFont="1" applyBorder="1" applyAlignment="1">
      <alignment horizontal="center" vertical="center"/>
    </xf>
    <xf numFmtId="0" fontId="32" fillId="0" borderId="5" xfId="0" applyFont="1" applyBorder="1" applyAlignment="1">
      <alignment horizontal="center" vertical="center" wrapText="1"/>
    </xf>
    <xf numFmtId="0" fontId="32" fillId="0" borderId="7" xfId="0" applyFont="1" applyBorder="1" applyAlignment="1">
      <alignment horizontal="center" vertical="center"/>
    </xf>
    <xf numFmtId="0" fontId="32" fillId="0" borderId="8" xfId="0" applyFont="1" applyBorder="1" applyAlignment="1">
      <alignment horizontal="center" vertical="center"/>
    </xf>
    <xf numFmtId="0" fontId="35" fillId="0" borderId="8" xfId="0" applyFont="1" applyBorder="1" applyAlignment="1">
      <alignment horizontal="left" vertical="center"/>
    </xf>
    <xf numFmtId="0" fontId="36" fillId="0" borderId="8" xfId="0" applyFont="1" applyBorder="1" applyAlignment="1">
      <alignment horizontal="left" vertical="center"/>
    </xf>
    <xf numFmtId="9" fontId="35" fillId="0" borderId="8" xfId="0" applyNumberFormat="1" applyFont="1" applyBorder="1" applyAlignment="1">
      <alignment horizontal="left" vertical="center"/>
    </xf>
    <xf numFmtId="0" fontId="35" fillId="0" borderId="8" xfId="0" applyFont="1" applyBorder="1" applyAlignment="1">
      <alignment horizontal="left" vertical="center" wrapText="1"/>
    </xf>
    <xf numFmtId="0" fontId="32" fillId="52" borderId="0" xfId="0" applyFont="1" applyFill="1" applyAlignment="1">
      <alignment horizontal="center"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1" fillId="52" borderId="0" xfId="0" applyFont="1" applyFill="1"/>
    <xf numFmtId="0" fontId="43" fillId="6" borderId="0" xfId="0" applyFont="1" applyFill="1" applyAlignment="1">
      <alignment horizontal="left" vertical="center"/>
    </xf>
    <xf numFmtId="0" fontId="43" fillId="28" borderId="0" xfId="0" applyFont="1" applyFill="1" applyAlignment="1">
      <alignment horizontal="left" vertical="center"/>
    </xf>
    <xf numFmtId="0" fontId="0" fillId="0" borderId="9" xfId="0" applyBorder="1"/>
    <xf numFmtId="0" fontId="43" fillId="31" borderId="8" xfId="0" applyFont="1" applyFill="1" applyBorder="1" applyAlignment="1">
      <alignment horizontal="center" vertical="center"/>
    </xf>
    <xf numFmtId="0" fontId="43" fillId="31" borderId="7" xfId="0" applyFont="1" applyFill="1" applyBorder="1" applyAlignment="1">
      <alignment horizontal="center" vertical="center"/>
    </xf>
    <xf numFmtId="0" fontId="44" fillId="52" borderId="0" xfId="0" applyFont="1" applyFill="1" applyAlignment="1">
      <alignment horizontal="center" vertical="center"/>
    </xf>
    <xf numFmtId="0" fontId="32" fillId="28" borderId="10" xfId="0" applyFont="1" applyFill="1" applyBorder="1" applyAlignment="1">
      <alignment horizontal="center" vertical="center"/>
    </xf>
    <xf numFmtId="0" fontId="32" fillId="28" borderId="11" xfId="0" applyFont="1" applyFill="1" applyBorder="1" applyAlignment="1">
      <alignment horizontal="center" vertical="center"/>
    </xf>
    <xf numFmtId="9" fontId="32" fillId="28" borderId="11" xfId="0" applyNumberFormat="1" applyFont="1" applyFill="1" applyBorder="1" applyAlignment="1">
      <alignment horizontal="center" vertical="center"/>
    </xf>
    <xf numFmtId="0" fontId="32" fillId="28" borderId="11" xfId="0" applyFont="1" applyFill="1" applyBorder="1" applyAlignment="1">
      <alignment horizontal="center" vertical="center" wrapText="1"/>
    </xf>
    <xf numFmtId="0" fontId="43" fillId="28" borderId="11" xfId="0" applyFont="1" applyFill="1" applyBorder="1" applyAlignment="1">
      <alignment horizontal="center" vertical="center"/>
    </xf>
    <xf numFmtId="0" fontId="43" fillId="43" borderId="11" xfId="0" applyFont="1" applyFill="1" applyBorder="1" applyAlignment="1">
      <alignment horizontal="center" vertical="center"/>
    </xf>
    <xf numFmtId="0" fontId="32" fillId="35" borderId="10" xfId="0" applyFont="1" applyFill="1" applyBorder="1" applyAlignment="1">
      <alignment horizontal="left" vertical="center"/>
    </xf>
    <xf numFmtId="0" fontId="42" fillId="0" borderId="11" xfId="0" applyFont="1" applyBorder="1" applyAlignment="1">
      <alignment horizontal="center" vertical="center"/>
    </xf>
    <xf numFmtId="0" fontId="32" fillId="0" borderId="11" xfId="0" applyFont="1" applyBorder="1" applyAlignment="1">
      <alignment horizontal="left" vertical="center"/>
    </xf>
    <xf numFmtId="0" fontId="37" fillId="45" borderId="11" xfId="0" applyFont="1" applyFill="1" applyBorder="1" applyAlignment="1">
      <alignment horizontal="center" vertical="center"/>
    </xf>
    <xf numFmtId="0" fontId="38" fillId="0" borderId="11" xfId="0" applyFont="1" applyBorder="1" applyAlignment="1">
      <alignment horizontal="center" vertical="center"/>
    </xf>
    <xf numFmtId="166" fontId="32" fillId="0" borderId="11" xfId="0" applyNumberFormat="1" applyFont="1" applyBorder="1" applyAlignment="1">
      <alignment horizontal="right" vertical="center"/>
    </xf>
    <xf numFmtId="165" fontId="32" fillId="0" borderId="11" xfId="0" applyNumberFormat="1" applyFont="1" applyBorder="1" applyAlignment="1">
      <alignment horizontal="right" vertical="center"/>
    </xf>
    <xf numFmtId="0" fontId="32" fillId="0" borderId="11" xfId="0" applyFont="1" applyBorder="1" applyAlignment="1">
      <alignment horizontal="right" vertical="center"/>
    </xf>
    <xf numFmtId="0" fontId="32" fillId="0" borderId="11" xfId="0" applyFont="1" applyBorder="1" applyAlignment="1">
      <alignment horizontal="center" vertical="center"/>
    </xf>
    <xf numFmtId="9" fontId="32" fillId="0" borderId="11" xfId="0" applyNumberFormat="1" applyFont="1" applyBorder="1" applyAlignment="1">
      <alignment horizontal="center" vertical="center"/>
    </xf>
    <xf numFmtId="0" fontId="32" fillId="0" borderId="11" xfId="0" applyFont="1" applyBorder="1" applyAlignment="1">
      <alignment horizontal="left" vertical="center" wrapText="1"/>
    </xf>
    <xf numFmtId="0" fontId="0" fillId="0" borderId="11" xfId="0" applyBorder="1"/>
    <xf numFmtId="0" fontId="0" fillId="0" borderId="12" xfId="0" applyBorder="1"/>
    <xf numFmtId="0" fontId="43" fillId="28" borderId="10" xfId="0" applyFont="1" applyFill="1" applyBorder="1" applyAlignment="1">
      <alignment horizontal="center" vertical="center"/>
    </xf>
    <xf numFmtId="0" fontId="0" fillId="0" borderId="10" xfId="0" applyBorder="1"/>
    <xf numFmtId="0" fontId="39" fillId="0" borderId="5" xfId="0" applyFont="1" applyBorder="1" applyAlignment="1">
      <alignment horizontal="left" vertical="center"/>
    </xf>
    <xf numFmtId="0" fontId="45" fillId="0" borderId="11" xfId="0" applyFont="1" applyBorder="1" applyAlignment="1">
      <alignment horizontal="center" vertical="center"/>
    </xf>
    <xf numFmtId="167" fontId="0" fillId="0" borderId="0" xfId="0" applyNumberFormat="1"/>
    <xf numFmtId="164" fontId="17" fillId="0" borderId="0" xfId="0" applyNumberFormat="1" applyFont="1" applyProtection="1">
      <protection locked="0"/>
    </xf>
    <xf numFmtId="0" fontId="17" fillId="0" borderId="0" xfId="0" applyFont="1" applyAlignment="1" applyProtection="1">
      <alignment horizontal="left"/>
      <protection locked="0"/>
    </xf>
    <xf numFmtId="49" fontId="32" fillId="0" borderId="0" xfId="0" applyNumberFormat="1" applyFont="1" applyAlignment="1">
      <alignment horizontal="left" vertical="center"/>
    </xf>
    <xf numFmtId="49" fontId="40" fillId="52" borderId="0" xfId="0" applyNumberFormat="1" applyFont="1" applyFill="1" applyAlignment="1">
      <alignment horizontal="left" vertical="center"/>
    </xf>
    <xf numFmtId="49" fontId="35" fillId="0" borderId="0" xfId="0" applyNumberFormat="1" applyFont="1" applyAlignment="1">
      <alignment horizontal="left" vertical="center"/>
    </xf>
    <xf numFmtId="49" fontId="36" fillId="0" borderId="8" xfId="0" applyNumberFormat="1" applyFont="1" applyBorder="1" applyAlignment="1">
      <alignment horizontal="left" vertical="center"/>
    </xf>
    <xf numFmtId="49" fontId="32" fillId="28" borderId="11" xfId="0" applyNumberFormat="1" applyFont="1" applyFill="1" applyBorder="1" applyAlignment="1">
      <alignment horizontal="center" vertical="center"/>
    </xf>
    <xf numFmtId="49" fontId="32" fillId="0" borderId="11" xfId="0" applyNumberFormat="1" applyFont="1" applyBorder="1" applyAlignment="1">
      <alignment horizontal="left" vertical="center"/>
    </xf>
    <xf numFmtId="49" fontId="32" fillId="0" borderId="5" xfId="0" applyNumberFormat="1" applyFont="1" applyBorder="1" applyAlignment="1">
      <alignment horizontal="left" vertical="center"/>
    </xf>
    <xf numFmtId="49" fontId="32" fillId="0" borderId="6" xfId="0" applyNumberFormat="1" applyFont="1" applyBorder="1" applyAlignment="1">
      <alignment horizontal="left" vertical="center"/>
    </xf>
    <xf numFmtId="0" fontId="32" fillId="38" borderId="10" xfId="0" applyFont="1" applyFill="1" applyBorder="1" applyAlignment="1">
      <alignment horizontal="left" vertical="center"/>
    </xf>
    <xf numFmtId="0" fontId="1" fillId="49" borderId="1" xfId="1" applyFill="1" applyAlignment="1">
      <alignment horizontal="left" vertical="center"/>
    </xf>
    <xf numFmtId="0" fontId="27" fillId="50" borderId="2" xfId="0" applyFont="1" applyFill="1" applyBorder="1" applyAlignment="1">
      <alignment horizontal="left" vertical="center"/>
    </xf>
    <xf numFmtId="0" fontId="10" fillId="0" borderId="0" xfId="0" applyFont="1" applyAlignment="1">
      <alignment horizontal="center"/>
    </xf>
    <xf numFmtId="0" fontId="27" fillId="0" borderId="0" xfId="0" applyFont="1" applyAlignment="1">
      <alignment horizontal="left" vertical="center"/>
    </xf>
    <xf numFmtId="9" fontId="28" fillId="0" borderId="0" xfId="0" applyNumberFormat="1" applyFont="1" applyAlignment="1">
      <alignment horizontal="center" vertical="top"/>
    </xf>
    <xf numFmtId="0" fontId="12" fillId="0" borderId="0" xfId="0" applyFont="1" applyAlignment="1">
      <alignment horizontal="center"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6">
    <dxf>
      <font>
        <color rgb="FF9C0006"/>
      </font>
    </dxf>
    <dxf>
      <font>
        <color rgb="FF9C0006"/>
      </font>
    </dxf>
    <dxf>
      <numFmt numFmtId="168" formatCode="m/d/yyyy"/>
    </dxf>
    <dxf>
      <numFmt numFmtId="168"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5"/>
      <tableStyleElement type="headerRow" dxfId="4"/>
    </tableStyle>
  </tableStyles>
  <colors>
    <mruColors>
      <color rgb="FF009ED6"/>
      <color rgb="FF00DBE6"/>
      <color rgb="FFFF5050"/>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1/relationships/timelineCache" Target="timelineCaches/timelineCach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165-4ECE-8881-16142382CE74}"/>
              </c:ext>
            </c:extLst>
          </c:dPt>
          <c:dPt>
            <c:idx val="1"/>
            <c:bubble3D val="0"/>
            <c:extLst>
              <c:ext xmlns:c16="http://schemas.microsoft.com/office/drawing/2014/chart" uri="{C3380CC4-5D6E-409C-BE32-E72D297353CC}">
                <c16:uniqueId val="{00000002-3165-4ECE-8881-16142382CE74}"/>
              </c:ext>
            </c:extLst>
          </c:dPt>
          <c:val>
            <c:numRef>
              <c:f>'Project Dashboard'!$AX$2:$AY$2</c:f>
              <c:numCache>
                <c:formatCode>0%</c:formatCode>
                <c:ptCount val="2"/>
                <c:pt idx="0">
                  <c:v>5.5555555555555552E-2</c:v>
                </c:pt>
                <c:pt idx="1">
                  <c:v>0.94444444444444442</c:v>
                </c:pt>
              </c:numCache>
            </c:numRef>
          </c:val>
          <c:extLst>
            <c:ext xmlns:c16="http://schemas.microsoft.com/office/drawing/2014/chart" uri="{C3380CC4-5D6E-409C-BE32-E72D297353CC}">
              <c16:uniqueId val="{00000003-3165-4ECE-8881-16142382CE74}"/>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8"/>
        <c:spPr>
          <a:solidFill>
            <a:srgbClr val="00B0F0"/>
          </a:solidFill>
        </c:spPr>
      </c:pivotFmt>
    </c:pivotFmts>
    <c:plotArea>
      <c:layout/>
      <c:pieChart>
        <c:varyColors val="1"/>
        <c:ser>
          <c:idx val="0"/>
          <c:order val="0"/>
          <c:tx>
            <c:strRef>
              <c:f>PivotSheet!$B$4</c:f>
              <c:strCache>
                <c:ptCount val="1"/>
                <c:pt idx="0">
                  <c:v>Total</c:v>
                </c:pt>
              </c:strCache>
            </c:strRef>
          </c:tx>
          <c:dPt>
            <c:idx val="0"/>
            <c:bubble3D val="0"/>
            <c:spPr>
              <a:solidFill>
                <a:srgbClr val="00B0F0"/>
              </a:solidFill>
            </c:spPr>
            <c:extLst>
              <c:ext xmlns:c16="http://schemas.microsoft.com/office/drawing/2014/chart" uri="{C3380CC4-5D6E-409C-BE32-E72D297353CC}">
                <c16:uniqueId val="{00000001-A2E6-4DC0-B7A6-4C98A125D203}"/>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PivotSheet!$A$5</c:f>
              <c:strCache>
                <c:ptCount val="1"/>
                <c:pt idx="0">
                  <c:v>Planned</c:v>
                </c:pt>
              </c:strCache>
            </c:strRef>
          </c:cat>
          <c:val>
            <c:numRef>
              <c:f>PivotSheet!$B$5</c:f>
              <c:numCache>
                <c:formatCode>General</c:formatCode>
                <c:ptCount val="1"/>
                <c:pt idx="0">
                  <c:v>8</c:v>
                </c:pt>
              </c:numCache>
            </c:numRef>
          </c:val>
          <c:extLst>
            <c:ext xmlns:c16="http://schemas.microsoft.com/office/drawing/2014/chart" uri="{C3380CC4-5D6E-409C-BE32-E72D297353CC}">
              <c16:uniqueId val="{00000000-A2E6-4DC0-B7A6-4C98A125D20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22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
        <c:idx val="18"/>
        <c:marker>
          <c:symbol val="none"/>
        </c:marker>
        <c:dLbl>
          <c:idx val="0"/>
          <c:delete val="1"/>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rgbClr val="FFC000"/>
          </a:solidFill>
        </c:spPr>
      </c:pivotFmt>
    </c:pivotFmts>
    <c:plotArea>
      <c:layout/>
      <c:doughnutChart>
        <c:varyColors val="1"/>
        <c:ser>
          <c:idx val="0"/>
          <c:order val="0"/>
          <c:tx>
            <c:strRef>
              <c:f>PivotSheet!$L$4</c:f>
              <c:strCache>
                <c:ptCount val="1"/>
                <c:pt idx="0">
                  <c:v>Total</c:v>
                </c:pt>
              </c:strCache>
            </c:strRef>
          </c:tx>
          <c:dPt>
            <c:idx val="0"/>
            <c:bubble3D val="0"/>
            <c:spPr>
              <a:solidFill>
                <a:srgbClr val="FFC000"/>
              </a:solidFill>
            </c:spPr>
            <c:extLst>
              <c:ext xmlns:c16="http://schemas.microsoft.com/office/drawing/2014/chart" uri="{C3380CC4-5D6E-409C-BE32-E72D297353CC}">
                <c16:uniqueId val="{00000001-3F7C-487F-9EA8-D712A67CE470}"/>
              </c:ext>
            </c:extLst>
          </c:dPt>
          <c:dPt>
            <c:idx val="1"/>
            <c:bubble3D val="0"/>
            <c:extLst>
              <c:ext xmlns:c16="http://schemas.microsoft.com/office/drawing/2014/chart" uri="{C3380CC4-5D6E-409C-BE32-E72D297353CC}">
                <c16:uniqueId val="{00000003-3F7C-487F-9EA8-D712A67CE470}"/>
              </c:ext>
            </c:extLst>
          </c:dPt>
          <c:dPt>
            <c:idx val="2"/>
            <c:bubble3D val="0"/>
            <c:extLst>
              <c:ext xmlns:c16="http://schemas.microsoft.com/office/drawing/2014/chart" uri="{C3380CC4-5D6E-409C-BE32-E72D297353CC}">
                <c16:uniqueId val="{00000005-3F7C-487F-9EA8-D712A67CE470}"/>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PivotSheet!$K$5</c:f>
              <c:strCache>
                <c:ptCount val="1"/>
                <c:pt idx="0">
                  <c:v>NORMAL</c:v>
                </c:pt>
              </c:strCache>
            </c:strRef>
          </c:cat>
          <c:val>
            <c:numRef>
              <c:f>PivotSheet!$L$5</c:f>
              <c:numCache>
                <c:formatCode>General</c:formatCode>
                <c:ptCount val="1"/>
                <c:pt idx="0">
                  <c:v>8</c:v>
                </c:pt>
              </c:numCache>
            </c:numRef>
          </c:val>
          <c:extLst>
            <c:ext xmlns:c16="http://schemas.microsoft.com/office/drawing/2014/chart" uri="{C3380CC4-5D6E-409C-BE32-E72D297353CC}">
              <c16:uniqueId val="{00000006-3F7C-487F-9EA8-D712A67CE47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233"/>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
        <c:idx val="8"/>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50000"/>
            </a:schemeClr>
          </a:solidFill>
          <a:ln>
            <a:noFill/>
          </a:ln>
          <a:effectLst/>
          <a:scene3d>
            <a:camera prst="orthographicFront"/>
            <a:lightRig rig="threePt" dir="t"/>
          </a:scene3d>
        </c:spPr>
      </c:pivotFmt>
      <c:pivotFmt>
        <c:idx val="10"/>
        <c:spPr>
          <a:solidFill>
            <a:srgbClr val="00B0F0"/>
          </a:solidFill>
          <a:ln>
            <a:noFill/>
          </a:ln>
          <a:effectLst/>
          <a:scene3d>
            <a:camera prst="orthographicFront"/>
            <a:lightRig rig="threePt" dir="t"/>
          </a:scene3d>
        </c:spPr>
      </c:pivotFmt>
      <c:pivotFmt>
        <c:idx val="11"/>
        <c:spPr>
          <a:solidFill>
            <a:schemeClr val="accent4"/>
          </a:solidFill>
          <a:ln>
            <a:noFill/>
          </a:ln>
          <a:effectLst/>
          <a:scene3d>
            <a:camera prst="orthographicFront"/>
            <a:lightRig rig="threePt" dir="t"/>
          </a:scene3d>
        </c:spPr>
        <c:marker>
          <c:symbol val="none"/>
        </c:marker>
        <c:dLbl>
          <c:idx val="0"/>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D9D9D9"/>
          </a:solidFill>
          <a:ln>
            <a:noFill/>
          </a:ln>
          <a:effectLst/>
          <a:scene3d>
            <a:camera prst="orthographicFront"/>
            <a:lightRig rig="threePt" dir="t"/>
          </a:scene3d>
        </c:spPr>
      </c:pivotFmt>
      <c:pivotFmt>
        <c:idx val="13"/>
        <c:spPr>
          <a:solidFill>
            <a:srgbClr val="00B0F0"/>
          </a:solidFill>
          <a:ln>
            <a:noFill/>
          </a:ln>
          <a:effectLst/>
          <a:scene3d>
            <a:camera prst="orthographicFront"/>
            <a:lightRig rig="threePt" dir="t"/>
          </a:scene3d>
        </c:spPr>
      </c:pivotFmt>
      <c:pivotFmt>
        <c:idx val="14"/>
        <c:spPr>
          <a:solidFill>
            <a:srgbClr val="FFC000"/>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rgbClr val="D9D9D9"/>
              </a:solidFill>
              <a:ln>
                <a:noFill/>
              </a:ln>
              <a:effectLst/>
              <a:scene3d>
                <a:camera prst="orthographicFront"/>
                <a:lightRig rig="threePt" dir="t"/>
              </a:scene3d>
            </c:spPr>
            <c:extLst>
              <c:ext xmlns:c16="http://schemas.microsoft.com/office/drawing/2014/chart" uri="{C3380CC4-5D6E-409C-BE32-E72D297353CC}">
                <c16:uniqueId val="{00000001-D1A8-43FA-8309-DF5DD5D9FC37}"/>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3-D1A8-43FA-8309-DF5DD5D9FC37}"/>
              </c:ext>
            </c:extLst>
          </c:dPt>
          <c:dPt>
            <c:idx val="2"/>
            <c:invertIfNegative val="0"/>
            <c:bubble3D val="0"/>
            <c:spPr>
              <a:solidFill>
                <a:srgbClr val="FFC000"/>
              </a:solidFill>
              <a:ln>
                <a:noFill/>
              </a:ln>
              <a:effectLst/>
              <a:scene3d>
                <a:camera prst="orthographicFront"/>
                <a:lightRig rig="threePt" dir="t"/>
              </a:scene3d>
            </c:spPr>
            <c:extLst>
              <c:ext xmlns:c16="http://schemas.microsoft.com/office/drawing/2014/chart" uri="{C3380CC4-5D6E-409C-BE32-E72D297353CC}">
                <c16:uniqueId val="{00000005-D1A8-43FA-8309-DF5DD5D9FC37}"/>
              </c:ext>
            </c:extLst>
          </c:dPt>
          <c:dLbls>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numCache>
            </c:numRef>
          </c:val>
          <c:extLst>
            <c:ext xmlns:c16="http://schemas.microsoft.com/office/drawing/2014/chart" uri="{C3380CC4-5D6E-409C-BE32-E72D297353CC}">
              <c16:uniqueId val="{00000004-D1A8-43FA-8309-DF5DD5D9FC37}"/>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Planned</c:v>
                </c:pt>
              </c:strCache>
            </c:strRef>
          </c:cat>
          <c:val>
            <c:numRef>
              <c:f>PivotSheet!$B$5</c:f>
              <c:numCache>
                <c:formatCode>General</c:formatCode>
                <c:ptCount val="1"/>
                <c:pt idx="0">
                  <c:v>8</c:v>
                </c:pt>
              </c:numCache>
            </c:numRef>
          </c:val>
          <c:extLst>
            <c:ext xmlns:c16="http://schemas.microsoft.com/office/drawing/2014/chart" uri="{C3380CC4-5D6E-409C-BE32-E72D297353CC}">
              <c16:uniqueId val="{00000000-7EF3-4DAB-B9C4-86F6D8F1A58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dPt>
            <c:idx val="0"/>
            <c:bubble3D val="0"/>
            <c:extLst>
              <c:ext xmlns:c16="http://schemas.microsoft.com/office/drawing/2014/chart" uri="{C3380CC4-5D6E-409C-BE32-E72D297353CC}">
                <c16:uniqueId val="{00000001-239A-4398-BBC7-94AC8B3B92B4}"/>
              </c:ext>
            </c:extLst>
          </c:dPt>
          <c:dPt>
            <c:idx val="1"/>
            <c:bubble3D val="0"/>
            <c:extLst>
              <c:ext xmlns:c16="http://schemas.microsoft.com/office/drawing/2014/chart" uri="{C3380CC4-5D6E-409C-BE32-E72D297353CC}">
                <c16:uniqueId val="{00000003-239A-4398-BBC7-94AC8B3B92B4}"/>
              </c:ext>
            </c:extLst>
          </c:dPt>
          <c:dPt>
            <c:idx val="2"/>
            <c:bubble3D val="0"/>
            <c:extLst>
              <c:ext xmlns:c16="http://schemas.microsoft.com/office/drawing/2014/chart" uri="{C3380CC4-5D6E-409C-BE32-E72D297353CC}">
                <c16:uniqueId val="{00000005-239A-4398-BBC7-94AC8B3B92B4}"/>
              </c:ext>
            </c:extLst>
          </c:dPt>
          <c:cat>
            <c:strRef>
              <c:f>PivotSheet!$K$5</c:f>
              <c:strCache>
                <c:ptCount val="1"/>
                <c:pt idx="0">
                  <c:v>NORMAL</c:v>
                </c:pt>
              </c:strCache>
            </c:strRef>
          </c:cat>
          <c:val>
            <c:numRef>
              <c:f>PivotSheet!$L$5</c:f>
              <c:numCache>
                <c:formatCode>General</c:formatCode>
                <c:ptCount val="1"/>
                <c:pt idx="0">
                  <c:v>8</c:v>
                </c:pt>
              </c:numCache>
            </c:numRef>
          </c:val>
          <c:extLst>
            <c:ext xmlns:c16="http://schemas.microsoft.com/office/drawing/2014/chart" uri="{C3380CC4-5D6E-409C-BE32-E72D297353CC}">
              <c16:uniqueId val="{00000004-6643-4D23-AF11-0F7A3CBC92A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[Gantt_Excel_Pro_Daily_Free1.xlsm]PivotSheet!PT3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930FF98E-A049-466C-AA61-32462B8FF8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9FCBAE5C-5F76-46DA-8601-333A478E8D39}"/>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4" name="EstimatedBudget">
          <a:extLst>
            <a:ext uri="{FF2B5EF4-FFF2-40B4-BE49-F238E27FC236}">
              <a16:creationId xmlns:a16="http://schemas.microsoft.com/office/drawing/2014/main" id="{E3013550-BBE4-40A2-AA25-9D93F3F5898A}"/>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ea typeface="Calibri"/>
              <a:cs typeface="Calibri"/>
            </a:rPr>
            <a:pPr algn="ctr"/>
            <a:t>₹0.00 </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5" name="EstimatedBudget">
          <a:extLst>
            <a:ext uri="{FF2B5EF4-FFF2-40B4-BE49-F238E27FC236}">
              <a16:creationId xmlns:a16="http://schemas.microsoft.com/office/drawing/2014/main" id="{F3134D0B-45DE-411D-B85D-F83FFFE78BBE}"/>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ea typeface="Calibri"/>
              <a:cs typeface="Calibri"/>
            </a:rPr>
            <a:pPr algn="ctr"/>
            <a:t>₹0.00 </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6" name="EstimatedBudget">
          <a:extLst>
            <a:ext uri="{FF2B5EF4-FFF2-40B4-BE49-F238E27FC236}">
              <a16:creationId xmlns:a16="http://schemas.microsoft.com/office/drawing/2014/main" id="{2C42BECC-1C8D-44CA-94D1-65C6B1C2F9ED}"/>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7" name="BC">
          <a:extLst>
            <a:ext uri="{FF2B5EF4-FFF2-40B4-BE49-F238E27FC236}">
              <a16:creationId xmlns:a16="http://schemas.microsoft.com/office/drawing/2014/main" id="{CF9B0001-BBFB-45C4-BC6E-18E8688FCBE9}"/>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ea typeface="Calibri"/>
              <a:cs typeface="Calibri"/>
            </a:rPr>
            <a:pPr algn="ctr"/>
            <a:t>6%</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9217" name="btnRefreshDashboard"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8" name="chTaskStatus">
          <a:extLst>
            <a:ext uri="{FF2B5EF4-FFF2-40B4-BE49-F238E27FC236}">
              <a16:creationId xmlns:a16="http://schemas.microsoft.com/office/drawing/2014/main" id="{C55BB7BD-AA9E-4066-9DE1-6F5ADA1415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403158</xdr:colOff>
      <xdr:row>19</xdr:row>
      <xdr:rowOff>21456</xdr:rowOff>
    </xdr:to>
    <mc:AlternateContent xmlns:mc="http://schemas.openxmlformats.org/markup-compatibility/2006" xmlns:a14="http://schemas.microsoft.com/office/drawing/2010/main">
      <mc:Choice Requires="a14">
        <xdr:graphicFrame macro="">
          <xdr:nvGraphicFramePr>
            <xdr:cNvPr id="9" name="Priority 1">
              <a:extLst>
                <a:ext uri="{FF2B5EF4-FFF2-40B4-BE49-F238E27FC236}">
                  <a16:creationId xmlns:a16="http://schemas.microsoft.com/office/drawing/2014/main" id="{95176A4E-0629-4E07-839C-A7799283499F}"/>
                </a:ext>
              </a:extLst>
            </xdr:cNvPr>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4466523" y="2463666"/>
              <a:ext cx="1381125" cy="11830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10" name="chTaskPriority">
          <a:extLst>
            <a:ext uri="{FF2B5EF4-FFF2-40B4-BE49-F238E27FC236}">
              <a16:creationId xmlns:a16="http://schemas.microsoft.com/office/drawing/2014/main" id="{5E2053D9-5CFF-48E3-A967-95EBC9D636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133350</xdr:rowOff>
    </xdr:to>
    <mc:AlternateContent xmlns:mc="http://schemas.openxmlformats.org/markup-compatibility/2006" xmlns:a14="http://schemas.microsoft.com/office/drawing/2010/main">
      <mc:Choice Requires="a14">
        <xdr:graphicFrame macro="">
          <xdr:nvGraphicFramePr>
            <xdr:cNvPr id="11" name="Status 1">
              <a:extLst>
                <a:ext uri="{FF2B5EF4-FFF2-40B4-BE49-F238E27FC236}">
                  <a16:creationId xmlns:a16="http://schemas.microsoft.com/office/drawing/2014/main" id="{9E21C8F2-8476-4C20-B8FB-E567601E08ED}"/>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4471034" y="592455"/>
              <a:ext cx="1396365" cy="18326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12" name="chTaskCosts">
          <a:extLst>
            <a:ext uri="{FF2B5EF4-FFF2-40B4-BE49-F238E27FC236}">
              <a16:creationId xmlns:a16="http://schemas.microsoft.com/office/drawing/2014/main" id="{FCEA6725-92D3-4AD9-8927-3838C0F521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3" name="BC">
          <a:extLst>
            <a:ext uri="{FF2B5EF4-FFF2-40B4-BE49-F238E27FC236}">
              <a16:creationId xmlns:a16="http://schemas.microsoft.com/office/drawing/2014/main" id="{BB84FBBB-6CCB-4519-A9E3-27B0FD3492E8}"/>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53340</xdr:rowOff>
    </xdr:to>
    <mc:AlternateContent xmlns:mc="http://schemas.openxmlformats.org/markup-compatibility/2006" xmlns:tsle="http://schemas.microsoft.com/office/drawing/2012/timeslicer">
      <mc:Choice Requires="tsle">
        <xdr:graphicFrame macro="">
          <xdr:nvGraphicFramePr>
            <xdr:cNvPr id="14" name="EED 3">
              <a:extLst>
                <a:ext uri="{FF2B5EF4-FFF2-40B4-BE49-F238E27FC236}">
                  <a16:creationId xmlns:a16="http://schemas.microsoft.com/office/drawing/2014/main" id="{5EEEFC66-F8BA-4331-9FD3-C19B8238377F}"/>
                </a:ext>
              </a:extLst>
            </xdr:cNvPr>
            <xdr:cNvGraphicFramePr/>
          </xdr:nvGraphicFramePr>
          <xdr:xfrm>
            <a:off x="0" y="0"/>
            <a:ext cx="0" cy="0"/>
          </xdr:xfrm>
          <a:graphic>
            <a:graphicData uri="http://schemas.microsoft.com/office/drawing/2012/timeslicer">
              <tsle:timeslicer name="EED 3"/>
            </a:graphicData>
          </a:graphic>
        </xdr:graphicFrame>
      </mc:Choice>
      <mc:Fallback xmlns="">
        <xdr:sp macro="" textlink="">
          <xdr:nvSpPr>
            <xdr:cNvPr id="0" name=""/>
            <xdr:cNvSpPr>
              <a:spLocks noTextEdit="1"/>
            </xdr:cNvSpPr>
          </xdr:nvSpPr>
          <xdr:spPr>
            <a:xfrm>
              <a:off x="5940592" y="587944"/>
              <a:ext cx="6648450" cy="138373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15" name="Resource 1">
              <a:extLst>
                <a:ext uri="{FF2B5EF4-FFF2-40B4-BE49-F238E27FC236}">
                  <a16:creationId xmlns:a16="http://schemas.microsoft.com/office/drawing/2014/main" id="{3520E4F7-6F5D-4CE9-A493-CC300BB58182}"/>
                </a:ext>
              </a:extLst>
            </xdr:cNvPr>
            <xdr:cNvGraphicFramePr/>
          </xdr:nvGraphicFramePr>
          <xdr:xfrm>
            <a:off x="0" y="0"/>
            <a:ext cx="0" cy="0"/>
          </xdr:xfrm>
          <a:graphic>
            <a:graphicData uri="http://schemas.microsoft.com/office/drawing/2010/slicer">
              <sle:slicer xmlns:sle="http://schemas.microsoft.com/office/drawing/2010/slicer" name="Resource 1"/>
            </a:graphicData>
          </a:graphic>
        </xdr:graphicFrame>
      </mc:Choice>
      <mc:Fallback xmlns="">
        <xdr:sp macro="" textlink="">
          <xdr:nvSpPr>
            <xdr:cNvPr id="0" name=""/>
            <xdr:cNvSpPr>
              <a:spLocks noTextEdit="1"/>
            </xdr:cNvSpPr>
          </xdr:nvSpPr>
          <xdr:spPr>
            <a:xfrm>
              <a:off x="4463415" y="3716655"/>
              <a:ext cx="1403985" cy="34556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234950</xdr:colOff>
      <xdr:row>1</xdr:row>
      <xdr:rowOff>54610</xdr:rowOff>
    </xdr:from>
    <xdr:to>
      <xdr:col>12</xdr:col>
      <xdr:colOff>361950</xdr:colOff>
      <xdr:row>1</xdr:row>
      <xdr:rowOff>181610</xdr:rowOff>
    </xdr:to>
    <xdr:sp macro="ColorTheChartsClicked" textlink="">
      <xdr:nvSpPr>
        <xdr:cNvPr id="19" name="ChartColorRefreshButton">
          <a:extLst>
            <a:ext uri="{FF2B5EF4-FFF2-40B4-BE49-F238E27FC236}">
              <a16:creationId xmlns:a16="http://schemas.microsoft.com/office/drawing/2014/main" id="{1AC8E473-28C5-5B5B-DDDD-7D33FB8E7337}"/>
            </a:ext>
          </a:extLst>
        </xdr:cNvPr>
        <xdr:cNvSpPr/>
      </xdr:nvSpPr>
      <xdr:spPr>
        <a:xfrm>
          <a:off x="12141200" y="187960"/>
          <a:ext cx="127000" cy="127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104775</xdr:colOff>
      <xdr:row>5</xdr:row>
      <xdr:rowOff>76200</xdr:rowOff>
    </xdr:from>
    <xdr:to>
      <xdr:col>13</xdr:col>
      <xdr:colOff>793750</xdr:colOff>
      <xdr:row>6</xdr:row>
      <xdr:rowOff>12700</xdr:rowOff>
    </xdr:to>
    <xdr:sp macro="LoadNewGanttFormOnDblClick" textlink="">
      <xdr:nvSpPr>
        <xdr:cNvPr id="15" name="SG_Project">
          <a:extLst>
            <a:ext uri="{FF2B5EF4-FFF2-40B4-BE49-F238E27FC236}">
              <a16:creationId xmlns:a16="http://schemas.microsoft.com/office/drawing/2014/main" id="{9C0D8773-BEFC-CC93-E50E-6DB3547FDDA8}"/>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Project Name - Click to Edit</a:t>
          </a:r>
        </a:p>
      </xdr:txBody>
    </xdr:sp>
    <xdr:clientData/>
  </xdr:twoCellAnchor>
  <xdr:twoCellAnchor>
    <xdr:from>
      <xdr:col>60</xdr:col>
      <xdr:colOff>169545</xdr:colOff>
      <xdr:row>5</xdr:row>
      <xdr:rowOff>50800</xdr:rowOff>
    </xdr:from>
    <xdr:to>
      <xdr:col>63</xdr:col>
      <xdr:colOff>713739</xdr:colOff>
      <xdr:row>6</xdr:row>
      <xdr:rowOff>0</xdr:rowOff>
    </xdr:to>
    <xdr:sp macro="" textlink="">
      <xdr:nvSpPr>
        <xdr:cNvPr id="711" name="ST_Mo_29-12-2025">
          <a:extLst>
            <a:ext uri="{FF2B5EF4-FFF2-40B4-BE49-F238E27FC236}">
              <a16:creationId xmlns:a16="http://schemas.microsoft.com/office/drawing/2014/main" id="{50A03EC6-2E0A-C214-A240-20305B9CB04A}"/>
            </a:ext>
          </a:extLst>
        </xdr:cNvPr>
        <xdr:cNvSpPr/>
      </xdr:nvSpPr>
      <xdr:spPr>
        <a:xfrm>
          <a:off x="9799320" y="50800"/>
          <a:ext cx="2211069"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Dec-25</a:t>
          </a:r>
        </a:p>
      </xdr:txBody>
    </xdr:sp>
    <xdr:clientData/>
  </xdr:twoCellAnchor>
  <xdr:twoCellAnchor>
    <xdr:from>
      <xdr:col>63</xdr:col>
      <xdr:colOff>720090</xdr:colOff>
      <xdr:row>5</xdr:row>
      <xdr:rowOff>50800</xdr:rowOff>
    </xdr:from>
    <xdr:to>
      <xdr:col>94</xdr:col>
      <xdr:colOff>595629</xdr:colOff>
      <xdr:row>6</xdr:row>
      <xdr:rowOff>0</xdr:rowOff>
    </xdr:to>
    <xdr:sp macro="" textlink="">
      <xdr:nvSpPr>
        <xdr:cNvPr id="712" name="ST_Mo_01-01-2026">
          <a:extLst>
            <a:ext uri="{FF2B5EF4-FFF2-40B4-BE49-F238E27FC236}">
              <a16:creationId xmlns:a16="http://schemas.microsoft.com/office/drawing/2014/main" id="{F74900A2-E358-C041-7561-D6FD0E4F58DB}"/>
            </a:ext>
          </a:extLst>
        </xdr:cNvPr>
        <xdr:cNvSpPr/>
      </xdr:nvSpPr>
      <xdr:spPr>
        <a:xfrm>
          <a:off x="12016740" y="50800"/>
          <a:ext cx="22906989"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January-2026</a:t>
          </a:r>
        </a:p>
      </xdr:txBody>
    </xdr:sp>
    <xdr:clientData/>
  </xdr:twoCellAnchor>
  <xdr:twoCellAnchor>
    <xdr:from>
      <xdr:col>94</xdr:col>
      <xdr:colOff>601979</xdr:colOff>
      <xdr:row>5</xdr:row>
      <xdr:rowOff>50800</xdr:rowOff>
    </xdr:from>
    <xdr:to>
      <xdr:col>109</xdr:col>
      <xdr:colOff>538479</xdr:colOff>
      <xdr:row>6</xdr:row>
      <xdr:rowOff>0</xdr:rowOff>
    </xdr:to>
    <xdr:sp macro="" textlink="">
      <xdr:nvSpPr>
        <xdr:cNvPr id="713" name="ST_Mo_01-02-2026">
          <a:extLst>
            <a:ext uri="{FF2B5EF4-FFF2-40B4-BE49-F238E27FC236}">
              <a16:creationId xmlns:a16="http://schemas.microsoft.com/office/drawing/2014/main" id="{6FAC3514-7AB2-B5A2-7194-5D22B9004F44}"/>
            </a:ext>
          </a:extLst>
        </xdr:cNvPr>
        <xdr:cNvSpPr/>
      </xdr:nvSpPr>
      <xdr:spPr>
        <a:xfrm>
          <a:off x="34930079" y="50800"/>
          <a:ext cx="11080750"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February-2026</a:t>
          </a:r>
        </a:p>
      </xdr:txBody>
    </xdr:sp>
    <xdr:clientData/>
  </xdr:twoCellAnchor>
  <xdr:twoCellAnchor>
    <xdr:from>
      <xdr:col>10</xdr:col>
      <xdr:colOff>1905</xdr:colOff>
      <xdr:row>9</xdr:row>
      <xdr:rowOff>54610</xdr:rowOff>
    </xdr:from>
    <xdr:to>
      <xdr:col>20</xdr:col>
      <xdr:colOff>525780</xdr:colOff>
      <xdr:row>12</xdr:row>
      <xdr:rowOff>3810</xdr:rowOff>
    </xdr:to>
    <xdr:sp macro="" textlink="">
      <xdr:nvSpPr>
        <xdr:cNvPr id="14" name="SG_EnableMacrosButton">
          <a:hlinkClick xmlns:r="http://schemas.openxmlformats.org/officeDocument/2006/relationships" r:id="rId1" tooltip="Enable Macros"/>
          <a:extLst>
            <a:ext uri="{FF2B5EF4-FFF2-40B4-BE49-F238E27FC236}">
              <a16:creationId xmlns:a16="http://schemas.microsoft.com/office/drawing/2014/main" id="{5499A949-04A4-FC52-DF06-E9C0FB3E1E81}"/>
            </a:ext>
          </a:extLst>
        </xdr:cNvPr>
        <xdr:cNvSpPr/>
      </xdr:nvSpPr>
      <xdr:spPr>
        <a:xfrm>
          <a:off x="678180" y="1102360"/>
          <a:ext cx="7620000" cy="635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FFFFFF"/>
              </a:solidFill>
            </a:rPr>
            <a:t>Automation Off - Enable Macros to Continue. Click Here for Help.</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19050</xdr:colOff>
      <xdr:row>20</xdr:row>
      <xdr:rowOff>57150</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hul" refreshedDate="46004.893377546294" createdVersion="7" refreshedVersion="8" minRefreshableVersion="3" recordCount="9" xr:uid="{13ED83AE-FFFB-4DD8-8004-9C646FBE23B3}">
  <cacheSource type="worksheet">
    <worksheetSource name="DashboardTable"/>
  </cacheSource>
  <cacheFields count="58">
    <cacheField name="ProjectID" numFmtId="0">
      <sharedItems containsSemiMixedTypes="0" containsString="0" containsNumber="1" containsInteger="1" minValue="1" maxValue="1"/>
    </cacheField>
    <cacheField name="dType" numFmtId="0">
      <sharedItems containsBlank="1" count="7">
        <s v="T"/>
        <s v="MP" u="1"/>
        <s v="SP" u="1"/>
        <s v="C" u="1"/>
        <s v="M" u="1"/>
        <m u="1"/>
        <s v="dType" u="1"/>
      </sharedItems>
    </cacheField>
    <cacheField name="GEType" numFmtId="0">
      <sharedItems count="2">
        <s v="T"/>
        <s v="M" u="1"/>
      </sharedItems>
    </cacheField>
    <cacheField name="TID" numFmtId="0">
      <sharedItems containsSemiMixedTypes="0" containsString="0" containsNumber="1" containsInteger="1" minValue="1" maxValue="9"/>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9"/>
    </cacheField>
    <cacheField name="Task" numFmtId="0">
      <sharedItems/>
    </cacheField>
    <cacheField name="Priority" numFmtId="0">
      <sharedItems containsBlank="1" count="4">
        <s v="NORMAL"/>
        <s v="HIGH" u="1"/>
        <s v="LOW" u="1"/>
        <m u="1"/>
      </sharedItems>
    </cacheField>
    <cacheField name="Status" numFmtId="0">
      <sharedItems containsBlank="1" count="5">
        <s v="InProgress"/>
        <s v="Planned"/>
        <s v="Completed" u="1"/>
        <s v="Overdue" u="1"/>
        <m u="1"/>
      </sharedItems>
    </cacheField>
    <cacheField name="Resource" numFmtId="0">
      <sharedItems containsNonDate="0" containsBlank="1" count="65">
        <m/>
        <s v="Adam" u="1"/>
        <s v="Matthew" u="1"/>
        <s v="Adrian" u="1"/>
        <s v="Danny" u="1"/>
        <s v="Gary" u="1"/>
        <s v="Toby" u="1"/>
        <s v="Sara" u="1"/>
        <s v="Celine" u="1"/>
        <s v="Organization, CREATIVO" u="1"/>
        <s v="MANAGER" u="1"/>
        <s v="IT" u="1"/>
        <s v="ESTRATEGIA" u="1"/>
        <s v="CREATIVO" u="1"/>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5-12-13T00:00:00" maxDate="2025-12-14T00:00:00"/>
    </cacheField>
    <cacheField name="EED" numFmtId="14">
      <sharedItems containsSemiMixedTypes="0" containsNonDate="0" containsDate="1" containsString="0" minDate="2025-12-15T00:00:00" maxDate="2025-12-22T00:00:00" count="2">
        <d v="2025-12-21T00:00:00"/>
        <d v="2025-12-15T00:00:00"/>
      </sharedItems>
      <fieldGroup par="57" base="21">
        <rangePr groupBy="days" startDate="2025-12-15T00:00:00" endDate="2025-12-22T00:00:00"/>
        <groupItems count="368">
          <s v="&lt;15-12-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2-12-2025"/>
        </groupItems>
      </fieldGroup>
    </cacheField>
    <cacheField name="ED" numFmtId="0">
      <sharedItems containsSemiMixedTypes="0" containsString="0" containsNumber="1" containsInteger="1" minValue="1" maxValue="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0"/>
    </cacheField>
    <cacheField name="PercentageCompleted" numFmtId="0">
      <sharedItems containsSemiMixedTypes="0" containsString="0" containsNumber="1" minValue="0" maxValue="0.5"/>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u="1"/>
        <m u="1"/>
        <e v="#REF!" u="1"/>
      </sharedItems>
    </cacheField>
    <cacheField name="Months" numFmtId="0" databaseField="0">
      <fieldGroup base="21">
        <rangePr groupBy="months" startDate="2025-12-15T00:00:00" endDate="2025-12-22T00:00:00"/>
        <groupItems count="14">
          <s v="&lt;15-12-2025"/>
          <s v="Jan"/>
          <s v="Feb"/>
          <s v="Mar"/>
          <s v="Apr"/>
          <s v="May"/>
          <s v="Jun"/>
          <s v="Jul"/>
          <s v="Aug"/>
          <s v="Sep"/>
          <s v="Oct"/>
          <s v="Nov"/>
          <s v="Dec"/>
          <s v="&gt;22-12-2025"/>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x v="0"/>
    <n v="1"/>
    <m/>
    <m/>
    <m/>
    <m/>
    <n v="0"/>
    <m/>
    <s v="u"/>
    <n v="1"/>
    <s v="Task1"/>
    <x v="0"/>
    <x v="0"/>
    <x v="0"/>
    <m/>
    <m/>
    <m/>
    <m/>
    <d v="2025-12-13T00:00:00"/>
    <x v="0"/>
    <n v="5"/>
    <m/>
    <m/>
    <m/>
    <n v="0"/>
    <n v="0.5"/>
    <m/>
    <m/>
    <m/>
    <m/>
    <m/>
    <m/>
    <m/>
    <m/>
    <m/>
    <m/>
    <m/>
    <m/>
    <m/>
    <m/>
    <m/>
    <m/>
    <m/>
    <m/>
    <m/>
    <m/>
    <m/>
    <m/>
    <m/>
    <m/>
    <m/>
    <m/>
    <m/>
    <m/>
    <x v="0"/>
  </r>
  <r>
    <n v="1"/>
    <x v="0"/>
    <x v="0"/>
    <n v="2"/>
    <m/>
    <m/>
    <m/>
    <m/>
    <n v="0"/>
    <m/>
    <s v="u"/>
    <n v="2"/>
    <s v="xfcvvxcv"/>
    <x v="0"/>
    <x v="1"/>
    <x v="0"/>
    <m/>
    <m/>
    <m/>
    <m/>
    <d v="2025-12-13T00:00:00"/>
    <x v="1"/>
    <n v="1"/>
    <m/>
    <m/>
    <m/>
    <n v="0"/>
    <n v="0"/>
    <m/>
    <m/>
    <m/>
    <m/>
    <m/>
    <m/>
    <m/>
    <m/>
    <m/>
    <m/>
    <m/>
    <m/>
    <m/>
    <m/>
    <m/>
    <m/>
    <m/>
    <m/>
    <m/>
    <m/>
    <m/>
    <m/>
    <m/>
    <m/>
    <m/>
    <m/>
    <m/>
    <m/>
    <x v="0"/>
  </r>
  <r>
    <n v="1"/>
    <x v="0"/>
    <x v="0"/>
    <n v="3"/>
    <m/>
    <m/>
    <m/>
    <m/>
    <n v="0"/>
    <m/>
    <s v="u"/>
    <n v="3"/>
    <s v="xcfdv"/>
    <x v="0"/>
    <x v="1"/>
    <x v="0"/>
    <m/>
    <m/>
    <m/>
    <m/>
    <d v="2025-12-13T00:00:00"/>
    <x v="1"/>
    <n v="1"/>
    <m/>
    <m/>
    <m/>
    <n v="0"/>
    <n v="0"/>
    <m/>
    <m/>
    <m/>
    <m/>
    <m/>
    <m/>
    <m/>
    <m/>
    <m/>
    <m/>
    <m/>
    <m/>
    <m/>
    <m/>
    <m/>
    <m/>
    <m/>
    <m/>
    <m/>
    <m/>
    <m/>
    <m/>
    <m/>
    <m/>
    <m/>
    <m/>
    <m/>
    <m/>
    <x v="0"/>
  </r>
  <r>
    <n v="1"/>
    <x v="0"/>
    <x v="0"/>
    <n v="4"/>
    <m/>
    <m/>
    <m/>
    <m/>
    <n v="0"/>
    <m/>
    <s v="u"/>
    <n v="4"/>
    <s v="bcvfbvcdb"/>
    <x v="0"/>
    <x v="1"/>
    <x v="0"/>
    <m/>
    <m/>
    <m/>
    <m/>
    <d v="2025-12-13T00:00:00"/>
    <x v="1"/>
    <n v="1"/>
    <m/>
    <m/>
    <m/>
    <n v="0"/>
    <n v="0"/>
    <m/>
    <m/>
    <m/>
    <m/>
    <m/>
    <m/>
    <m/>
    <m/>
    <m/>
    <m/>
    <m/>
    <m/>
    <m/>
    <m/>
    <m/>
    <m/>
    <m/>
    <m/>
    <m/>
    <m/>
    <m/>
    <m/>
    <m/>
    <m/>
    <m/>
    <m/>
    <m/>
    <m/>
    <x v="0"/>
  </r>
  <r>
    <n v="1"/>
    <x v="0"/>
    <x v="0"/>
    <n v="5"/>
    <m/>
    <m/>
    <m/>
    <m/>
    <n v="0"/>
    <m/>
    <s v="u"/>
    <n v="5"/>
    <s v="bvccvbbcv"/>
    <x v="0"/>
    <x v="1"/>
    <x v="0"/>
    <m/>
    <m/>
    <m/>
    <m/>
    <d v="2025-12-13T00:00:00"/>
    <x v="1"/>
    <n v="1"/>
    <m/>
    <m/>
    <m/>
    <n v="0"/>
    <n v="0"/>
    <m/>
    <m/>
    <m/>
    <m/>
    <m/>
    <m/>
    <m/>
    <m/>
    <m/>
    <m/>
    <m/>
    <m/>
    <m/>
    <m/>
    <m/>
    <m/>
    <m/>
    <m/>
    <m/>
    <m/>
    <m/>
    <m/>
    <m/>
    <m/>
    <m/>
    <m/>
    <m/>
    <m/>
    <x v="0"/>
  </r>
  <r>
    <n v="1"/>
    <x v="0"/>
    <x v="0"/>
    <n v="6"/>
    <m/>
    <m/>
    <m/>
    <m/>
    <n v="0"/>
    <m/>
    <s v="u"/>
    <n v="6"/>
    <s v="bcvd"/>
    <x v="0"/>
    <x v="1"/>
    <x v="0"/>
    <m/>
    <m/>
    <m/>
    <m/>
    <d v="2025-12-13T00:00:00"/>
    <x v="1"/>
    <n v="1"/>
    <m/>
    <m/>
    <m/>
    <n v="0"/>
    <n v="0"/>
    <m/>
    <m/>
    <m/>
    <m/>
    <m/>
    <m/>
    <m/>
    <m/>
    <m/>
    <m/>
    <m/>
    <m/>
    <m/>
    <m/>
    <m/>
    <m/>
    <m/>
    <m/>
    <m/>
    <m/>
    <m/>
    <m/>
    <m/>
    <m/>
    <m/>
    <m/>
    <m/>
    <m/>
    <x v="0"/>
  </r>
  <r>
    <n v="1"/>
    <x v="0"/>
    <x v="0"/>
    <n v="7"/>
    <m/>
    <m/>
    <m/>
    <m/>
    <n v="0"/>
    <m/>
    <s v="u"/>
    <n v="7"/>
    <s v="vcfb"/>
    <x v="0"/>
    <x v="1"/>
    <x v="0"/>
    <m/>
    <m/>
    <m/>
    <m/>
    <d v="2025-12-13T00:00:00"/>
    <x v="1"/>
    <n v="1"/>
    <m/>
    <m/>
    <m/>
    <n v="0"/>
    <n v="0"/>
    <m/>
    <m/>
    <m/>
    <m/>
    <m/>
    <m/>
    <m/>
    <m/>
    <m/>
    <m/>
    <m/>
    <m/>
    <m/>
    <m/>
    <m/>
    <m/>
    <m/>
    <m/>
    <m/>
    <m/>
    <m/>
    <m/>
    <m/>
    <m/>
    <m/>
    <m/>
    <m/>
    <m/>
    <x v="0"/>
  </r>
  <r>
    <n v="1"/>
    <x v="0"/>
    <x v="0"/>
    <n v="8"/>
    <m/>
    <m/>
    <m/>
    <m/>
    <n v="0"/>
    <m/>
    <s v="u"/>
    <n v="8"/>
    <s v="bcv"/>
    <x v="0"/>
    <x v="1"/>
    <x v="0"/>
    <m/>
    <m/>
    <m/>
    <m/>
    <d v="2025-12-13T00:00:00"/>
    <x v="1"/>
    <n v="1"/>
    <m/>
    <m/>
    <m/>
    <n v="0"/>
    <n v="0"/>
    <m/>
    <m/>
    <m/>
    <m/>
    <m/>
    <m/>
    <m/>
    <m/>
    <m/>
    <m/>
    <m/>
    <m/>
    <m/>
    <m/>
    <m/>
    <m/>
    <m/>
    <m/>
    <m/>
    <m/>
    <m/>
    <m/>
    <m/>
    <m/>
    <m/>
    <m/>
    <m/>
    <m/>
    <x v="0"/>
  </r>
  <r>
    <n v="1"/>
    <x v="0"/>
    <x v="0"/>
    <n v="9"/>
    <m/>
    <m/>
    <m/>
    <m/>
    <n v="0"/>
    <m/>
    <s v="u"/>
    <n v="9"/>
    <s v="vcx"/>
    <x v="0"/>
    <x v="1"/>
    <x v="0"/>
    <m/>
    <m/>
    <m/>
    <m/>
    <d v="2025-12-13T00:00:00"/>
    <x v="1"/>
    <n v="1"/>
    <m/>
    <m/>
    <m/>
    <n v="0"/>
    <n v="0"/>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23">
  <location ref="K4:L5" firstHeaderRow="1" firstDataRow="1" firstDataCol="1" rowPageCount="2" colPageCount="1"/>
  <pivotFields count="58">
    <pivotField showAll="0"/>
    <pivotField axis="axisPage" showAll="0">
      <items count="8">
        <item x="0"/>
        <item h="1" m="1" x="1"/>
        <item m="1" x="3"/>
        <item h="1" m="1" x="2"/>
        <item h="1" m="1" x="6"/>
        <item h="1" m="1" x="5"/>
        <item h="1" m="1" x="4"/>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1"/>
        <item m="1" x="2"/>
        <item x="0"/>
        <item m="1" x="3"/>
        <item t="default"/>
      </items>
    </pivotField>
    <pivotField showAll="0">
      <items count="6">
        <item h="1" m="1" x="2"/>
        <item h="1" x="0"/>
        <item h="1" m="1" x="3"/>
        <item x="1"/>
        <item h="1" m="1" x="4"/>
        <item t="default"/>
      </items>
    </pivotField>
    <pivotField showAll="0">
      <items count="66">
        <item m="1" x="34"/>
        <item m="1" x="1"/>
        <item m="1" x="3"/>
        <item m="1" x="22"/>
        <item m="1" x="8"/>
        <item m="1" x="56"/>
        <item m="1" x="53"/>
        <item m="1" x="24"/>
        <item m="1" x="57"/>
        <item m="1" x="13"/>
        <item m="1" x="4"/>
        <item m="1" x="55"/>
        <item m="1" x="41"/>
        <item m="1" x="46"/>
        <item m="1" x="27"/>
        <item m="1" x="12"/>
        <item m="1" x="29"/>
        <item m="1" x="5"/>
        <item m="1" x="47"/>
        <item m="1" x="60"/>
        <item m="1" x="14"/>
        <item m="1" x="37"/>
        <item m="1" x="20"/>
        <item m="1" x="11"/>
        <item m="1" x="23"/>
        <item m="1" x="44"/>
        <item m="1" x="59"/>
        <item m="1" x="17"/>
        <item m="1" x="52"/>
        <item m="1" x="25"/>
        <item m="1" x="35"/>
        <item m="1" x="26"/>
        <item m="1" x="36"/>
        <item m="1" x="10"/>
        <item m="1" x="42"/>
        <item m="1" x="2"/>
        <item m="1" x="64"/>
        <item m="1" x="28"/>
        <item m="1" x="54"/>
        <item m="1" x="16"/>
        <item m="1" x="18"/>
        <item m="1" x="39"/>
        <item m="1" x="9"/>
        <item m="1" x="49"/>
        <item m="1" x="51"/>
        <item m="1" x="61"/>
        <item m="1" x="7"/>
        <item m="1" x="19"/>
        <item m="1" x="40"/>
        <item m="1" x="58"/>
        <item m="1" x="33"/>
        <item m="1" x="63"/>
        <item m="1" x="21"/>
        <item m="1" x="62"/>
        <item m="1" x="6"/>
        <item m="1" x="45"/>
        <item m="1" x="30"/>
        <item m="1" x="50"/>
        <item m="1" x="31"/>
        <item m="1" x="38"/>
        <item m="1" x="43"/>
        <item m="1" x="32"/>
        <item m="1" x="15"/>
        <item m="1" x="48"/>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7">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 chart="222" format="22" series="1">
      <pivotArea type="data" outline="0" fieldPosition="0">
        <references count="1">
          <reference field="4294967294" count="1" selected="0">
            <x v="0"/>
          </reference>
        </references>
      </pivotArea>
    </chartFormat>
    <chartFormat chart="222" format="23">
      <pivotArea type="data" outline="0" fieldPosition="0">
        <references count="2">
          <reference field="4294967294" count="1" selected="0">
            <x v="0"/>
          </reference>
          <reference field="13" count="1" selected="0">
            <x v="0"/>
          </reference>
        </references>
      </pivotArea>
    </chartFormat>
    <chartFormat chart="222" format="24">
      <pivotArea type="data" outline="0" fieldPosition="0">
        <references count="2">
          <reference field="4294967294" count="1" selected="0">
            <x v="0"/>
          </reference>
          <reference field="13" count="1" selected="0">
            <x v="1"/>
          </reference>
        </references>
      </pivotArea>
    </chartFormat>
    <chartFormat chart="222" format="25">
      <pivotArea type="data" outline="0" fieldPosition="0">
        <references count="2">
          <reference field="4294967294" count="1" selected="0">
            <x v="0"/>
          </reference>
          <reference field="13" count="1" selected="0">
            <x v="2"/>
          </reference>
        </references>
      </pivotArea>
    </chartFormat>
    <chartFormat chart="222" format="26">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m="1" x="3"/>
        <item h="1" m="1" x="1"/>
        <item h="1" m="1" x="2"/>
        <item x="0"/>
        <item h="1" m="1" x="6"/>
        <item h="1" m="1" x="5"/>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1"/>
        <item m="1" x="2"/>
        <item x="0"/>
        <item m="1" x="3"/>
        <item t="default"/>
      </items>
    </pivotField>
    <pivotField showAll="0">
      <items count="6">
        <item h="1" m="1" x="2"/>
        <item h="1" x="0"/>
        <item h="1" m="1" x="3"/>
        <item x="1"/>
        <item h="1" m="1" x="4"/>
        <item t="default"/>
      </items>
    </pivotField>
    <pivotField axis="axisRow" showAll="0">
      <items count="66">
        <item m="1" x="56"/>
        <item m="1" x="14"/>
        <item m="1" x="52"/>
        <item m="1" x="35"/>
        <item m="1" x="26"/>
        <item m="1" x="64"/>
        <item m="1" x="28"/>
        <item m="1" x="54"/>
        <item m="1" x="40"/>
        <item m="1" x="58"/>
        <item m="1" x="48"/>
        <item x="0"/>
        <item m="1" x="62"/>
        <item m="1" x="60"/>
        <item m="1" x="21"/>
        <item m="1" x="33"/>
        <item m="1" x="53"/>
        <item m="1" x="17"/>
        <item m="1" x="63"/>
        <item m="1" x="46"/>
        <item m="1" x="41"/>
        <item m="1" x="55"/>
        <item m="1" x="42"/>
        <item m="1" x="32"/>
        <item m="1" x="29"/>
        <item m="1" x="19"/>
        <item m="1" x="15"/>
        <item m="1" x="16"/>
        <item m="1" x="36"/>
        <item m="1" x="49"/>
        <item m="1" x="25"/>
        <item m="1" x="22"/>
        <item m="1" x="34"/>
        <item m="1" x="18"/>
        <item m="1" x="59"/>
        <item m="1" x="44"/>
        <item m="1" x="51"/>
        <item m="1" x="61"/>
        <item m="1" x="27"/>
        <item m="1" x="23"/>
        <item m="1" x="39"/>
        <item m="1" x="37"/>
        <item m="1" x="20"/>
        <item m="1" x="24"/>
        <item m="1" x="57"/>
        <item m="1" x="47"/>
        <item m="1" x="50"/>
        <item m="1" x="43"/>
        <item m="1" x="38"/>
        <item m="1" x="45"/>
        <item m="1" x="31"/>
        <item m="1" x="30"/>
        <item m="1" x="9"/>
        <item m="1" x="10"/>
        <item m="1" x="11"/>
        <item m="1" x="12"/>
        <item m="1" x="13"/>
        <item m="1" x="1"/>
        <item m="1" x="6"/>
        <item m="1" x="7"/>
        <item m="1" x="5"/>
        <item m="1" x="3"/>
        <item m="1" x="4"/>
        <item m="1" x="2"/>
        <item m="1" x="8"/>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7">
  <location ref="A4:B5" firstHeaderRow="1" firstDataRow="1" firstDataCol="1" rowPageCount="2" colPageCount="1"/>
  <pivotFields count="58">
    <pivotField showAll="0"/>
    <pivotField axis="axisPage" showAll="0">
      <items count="8">
        <item x="0"/>
        <item h="1" m="1" x="1"/>
        <item m="1" x="3"/>
        <item h="1" m="1" x="2"/>
        <item h="1" m="1" x="6"/>
        <item h="1" m="1" x="5"/>
        <item h="1" m="1" x="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1"/>
        <item m="1" x="2"/>
        <item x="0"/>
        <item m="1" x="3"/>
        <item t="default"/>
      </items>
    </pivotField>
    <pivotField axis="axisRow" showAll="0">
      <items count="6">
        <item h="1" m="1" x="2"/>
        <item h="1" x="0"/>
        <item h="1" m="1" x="3"/>
        <item x="1"/>
        <item h="1" m="1" x="4"/>
        <item t="default"/>
      </items>
    </pivotField>
    <pivotField showAll="0">
      <items count="66">
        <item m="1" x="34"/>
        <item m="1" x="1"/>
        <item m="1" x="3"/>
        <item m="1" x="22"/>
        <item m="1" x="8"/>
        <item m="1" x="56"/>
        <item m="1" x="53"/>
        <item m="1" x="24"/>
        <item m="1" x="57"/>
        <item m="1" x="13"/>
        <item m="1" x="4"/>
        <item m="1" x="55"/>
        <item m="1" x="41"/>
        <item m="1" x="46"/>
        <item m="1" x="27"/>
        <item m="1" x="12"/>
        <item m="1" x="29"/>
        <item m="1" x="5"/>
        <item m="1" x="47"/>
        <item m="1" x="60"/>
        <item m="1" x="14"/>
        <item m="1" x="37"/>
        <item m="1" x="20"/>
        <item m="1" x="11"/>
        <item m="1" x="23"/>
        <item m="1" x="44"/>
        <item m="1" x="59"/>
        <item m="1" x="17"/>
        <item m="1" x="52"/>
        <item m="1" x="25"/>
        <item m="1" x="35"/>
        <item m="1" x="26"/>
        <item m="1" x="36"/>
        <item m="1" x="10"/>
        <item m="1" x="42"/>
        <item m="1" x="2"/>
        <item m="1" x="64"/>
        <item m="1" x="28"/>
        <item m="1" x="54"/>
        <item m="1" x="16"/>
        <item m="1" x="18"/>
        <item m="1" x="39"/>
        <item m="1" x="9"/>
        <item m="1" x="49"/>
        <item m="1" x="51"/>
        <item m="1" x="61"/>
        <item m="1" x="7"/>
        <item m="1" x="19"/>
        <item m="1" x="40"/>
        <item m="1" x="58"/>
        <item m="1" x="33"/>
        <item m="1" x="63"/>
        <item m="1" x="21"/>
        <item m="1" x="62"/>
        <item m="1" x="6"/>
        <item m="1" x="45"/>
        <item m="1" x="30"/>
        <item m="1" x="50"/>
        <item m="1" x="31"/>
        <item m="1" x="38"/>
        <item m="1" x="43"/>
        <item m="1" x="32"/>
        <item m="1" x="15"/>
        <item m="1" x="48"/>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3"/>
    </i>
  </rowItems>
  <colItems count="1">
    <i/>
  </colItems>
  <pageFields count="2">
    <pageField fld="56" hier="-1"/>
    <pageField fld="1" hier="-1"/>
  </pageFields>
  <dataFields count="1">
    <dataField name="Count of tID" fld="3" subtotal="count" baseField="0" baseItem="0"/>
  </dataFields>
  <chartFormats count="18">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 chart="216" format="17" series="1">
      <pivotArea type="data" outline="0" fieldPosition="0">
        <references count="1">
          <reference field="4294967294" count="1" selected="0">
            <x v="0"/>
          </reference>
        </references>
      </pivotArea>
    </chartFormat>
    <chartFormat chart="216" format="18">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AP4:AQ5" firstHeaderRow="1" firstDataRow="1" firstDataCol="1" rowPageCount="2" colPageCount="1"/>
  <pivotFields count="58">
    <pivotField showAll="0"/>
    <pivotField axis="axisPage" showAll="0">
      <items count="8">
        <item m="1" x="3"/>
        <item h="1" m="1" x="1"/>
        <item h="1" m="1" x="2"/>
        <item x="0"/>
        <item h="1" m="1" x="6"/>
        <item h="1" m="1" x="5"/>
        <item h="1" m="1" x="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1"/>
        <item m="1" x="2"/>
        <item x="0"/>
        <item m="1" x="3"/>
        <item t="default"/>
      </items>
    </pivotField>
    <pivotField showAll="0">
      <items count="6">
        <item h="1" m="1" x="2"/>
        <item h="1" x="0"/>
        <item h="1" m="1" x="3"/>
        <item x="1"/>
        <item h="1" m="1" x="4"/>
        <item t="default"/>
      </items>
    </pivotField>
    <pivotField showAll="0">
      <items count="66">
        <item m="1" x="34"/>
        <item m="1" x="1"/>
        <item m="1" x="3"/>
        <item m="1" x="22"/>
        <item m="1" x="8"/>
        <item m="1" x="56"/>
        <item m="1" x="53"/>
        <item m="1" x="24"/>
        <item m="1" x="57"/>
        <item m="1" x="13"/>
        <item m="1" x="4"/>
        <item m="1" x="55"/>
        <item m="1" x="41"/>
        <item m="1" x="46"/>
        <item m="1" x="27"/>
        <item m="1" x="12"/>
        <item m="1" x="29"/>
        <item m="1" x="5"/>
        <item m="1" x="47"/>
        <item m="1" x="60"/>
        <item m="1" x="14"/>
        <item m="1" x="37"/>
        <item m="1" x="20"/>
        <item m="1" x="11"/>
        <item m="1" x="23"/>
        <item m="1" x="44"/>
        <item m="1" x="59"/>
        <item m="1" x="17"/>
        <item m="1" x="52"/>
        <item m="1" x="25"/>
        <item m="1" x="35"/>
        <item m="1" x="26"/>
        <item m="1" x="36"/>
        <item m="1" x="10"/>
        <item m="1" x="42"/>
        <item m="1" x="2"/>
        <item m="1" x="64"/>
        <item m="1" x="28"/>
        <item m="1" x="54"/>
        <item m="1" x="16"/>
        <item m="1" x="18"/>
        <item m="1" x="39"/>
        <item m="1" x="9"/>
        <item m="1" x="49"/>
        <item m="1" x="51"/>
        <item m="1" x="61"/>
        <item m="1" x="7"/>
        <item m="1" x="19"/>
        <item m="1" x="40"/>
        <item m="1" x="58"/>
        <item m="1" x="33"/>
        <item m="1" x="63"/>
        <item m="1" x="21"/>
        <item m="1" x="62"/>
        <item m="1" x="6"/>
        <item m="1" x="45"/>
        <item m="1" x="30"/>
        <item m="1" x="50"/>
        <item m="1" x="31"/>
        <item m="1" x="38"/>
        <item m="1" x="43"/>
        <item m="1" x="32"/>
        <item m="1" x="15"/>
        <item m="1" x="48"/>
        <item x="0"/>
        <item t="default"/>
      </items>
    </pivotField>
    <pivotField showAll="0"/>
    <pivotField showAll="0"/>
    <pivotField showAll="0"/>
    <pivotField showAll="0"/>
    <pivotField numFmtId="14" showAll="0"/>
    <pivotField axis="axisRow"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1">
    <i>
      <x v="24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1"/>
        <item m="1" x="2"/>
        <item x="0"/>
        <item m="1" x="3"/>
        <item t="default"/>
      </items>
    </pivotField>
    <pivotField showAll="0">
      <items count="6">
        <item h="1" m="1" x="2"/>
        <item h="1" x="0"/>
        <item h="1" m="1" x="3"/>
        <item x="1"/>
        <item h="1" m="1" x="4"/>
        <item t="default"/>
      </items>
    </pivotField>
    <pivotField showAll="0">
      <items count="66">
        <item m="1" x="34"/>
        <item m="1" x="1"/>
        <item m="1" x="3"/>
        <item m="1" x="22"/>
        <item m="1" x="8"/>
        <item m="1" x="56"/>
        <item m="1" x="53"/>
        <item m="1" x="24"/>
        <item m="1" x="57"/>
        <item m="1" x="13"/>
        <item m="1" x="4"/>
        <item m="1" x="55"/>
        <item m="1" x="41"/>
        <item m="1" x="46"/>
        <item m="1" x="27"/>
        <item m="1" x="12"/>
        <item m="1" x="29"/>
        <item m="1" x="5"/>
        <item m="1" x="47"/>
        <item m="1" x="60"/>
        <item m="1" x="14"/>
        <item m="1" x="37"/>
        <item m="1" x="20"/>
        <item m="1" x="11"/>
        <item m="1" x="23"/>
        <item m="1" x="44"/>
        <item m="1" x="59"/>
        <item m="1" x="17"/>
        <item m="1" x="52"/>
        <item m="1" x="25"/>
        <item m="1" x="35"/>
        <item m="1" x="26"/>
        <item m="1" x="36"/>
        <item m="1" x="10"/>
        <item m="1" x="42"/>
        <item m="1" x="2"/>
        <item m="1" x="64"/>
        <item m="1" x="28"/>
        <item m="1" x="54"/>
        <item m="1" x="16"/>
        <item m="1" x="18"/>
        <item m="1" x="39"/>
        <item m="1" x="9"/>
        <item m="1" x="49"/>
        <item m="1" x="51"/>
        <item m="1" x="61"/>
        <item m="1" x="7"/>
        <item m="1" x="19"/>
        <item m="1" x="40"/>
        <item m="1" x="58"/>
        <item m="1" x="33"/>
        <item m="1" x="63"/>
        <item m="1" x="21"/>
        <item m="1" x="62"/>
        <item m="1" x="6"/>
        <item m="1" x="45"/>
        <item m="1" x="30"/>
        <item m="1" x="50"/>
        <item m="1" x="31"/>
        <item m="1" x="38"/>
        <item m="1" x="43"/>
        <item m="1" x="32"/>
        <item m="1" x="15"/>
        <item m="1" x="48"/>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34">
  <location ref="U4:V7" firstHeaderRow="1" firstDataRow="1" firstDataCol="1" rowPageCount="2" colPageCount="1"/>
  <pivotFields count="58">
    <pivotField showAll="0"/>
    <pivotField axis="axisPage" showAll="0">
      <items count="8">
        <item h="1" m="1" x="3"/>
        <item m="1" x="1"/>
        <item h="1" m="1" x="2"/>
        <item x="0"/>
        <item h="1" m="1" x="6"/>
        <item h="1" m="1" x="5"/>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1"/>
        <item m="1" x="2"/>
        <item x="0"/>
        <item m="1" x="3"/>
        <item t="default"/>
      </items>
    </pivotField>
    <pivotField showAll="0">
      <items count="6">
        <item h="1" m="1" x="2"/>
        <item h="1" x="0"/>
        <item h="1" m="1" x="3"/>
        <item x="1"/>
        <item h="1" m="1" x="4"/>
        <item t="default"/>
      </items>
    </pivotField>
    <pivotField showAll="0">
      <items count="66">
        <item m="1" x="34"/>
        <item m="1" x="1"/>
        <item m="1" x="3"/>
        <item m="1" x="22"/>
        <item m="1" x="8"/>
        <item m="1" x="56"/>
        <item m="1" x="53"/>
        <item m="1" x="24"/>
        <item m="1" x="57"/>
        <item m="1" x="13"/>
        <item m="1" x="4"/>
        <item m="1" x="55"/>
        <item m="1" x="41"/>
        <item m="1" x="46"/>
        <item m="1" x="27"/>
        <item m="1" x="12"/>
        <item m="1" x="29"/>
        <item m="1" x="5"/>
        <item m="1" x="47"/>
        <item m="1" x="60"/>
        <item m="1" x="14"/>
        <item m="1" x="37"/>
        <item m="1" x="20"/>
        <item m="1" x="11"/>
        <item m="1" x="23"/>
        <item m="1" x="44"/>
        <item m="1" x="59"/>
        <item m="1" x="17"/>
        <item m="1" x="52"/>
        <item m="1" x="25"/>
        <item m="1" x="35"/>
        <item m="1" x="26"/>
        <item m="1" x="36"/>
        <item m="1" x="10"/>
        <item m="1" x="42"/>
        <item m="1" x="2"/>
        <item m="1" x="64"/>
        <item m="1" x="28"/>
        <item m="1" x="54"/>
        <item m="1" x="16"/>
        <item m="1" x="18"/>
        <item m="1" x="39"/>
        <item m="1" x="9"/>
        <item m="1" x="49"/>
        <item m="1" x="51"/>
        <item m="1" x="61"/>
        <item m="1" x="7"/>
        <item m="1" x="19"/>
        <item m="1" x="40"/>
        <item m="1" x="58"/>
        <item m="1" x="33"/>
        <item m="1" x="63"/>
        <item m="1" x="21"/>
        <item m="1" x="62"/>
        <item m="1" x="6"/>
        <item m="1" x="45"/>
        <item m="1" x="30"/>
        <item m="1" x="50"/>
        <item m="1" x="31"/>
        <item m="1" x="38"/>
        <item m="1" x="43"/>
        <item m="1" x="32"/>
        <item m="1" x="15"/>
        <item m="1" x="48"/>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7"/>
    <dataField name="Estimated Cost" fld="32" baseField="0" baseItem="0" numFmtId="167"/>
    <dataField name="Actual Cost" fld="33" baseField="0" baseItem="0" numFmtId="167"/>
  </dataFields>
  <chartFormats count="15">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 chart="233" format="11" series="1">
      <pivotArea type="data" outline="0" fieldPosition="0">
        <references count="1">
          <reference field="4294967294" count="1" selected="0">
            <x v="0"/>
          </reference>
        </references>
      </pivotArea>
    </chartFormat>
    <chartFormat chart="233" format="12">
      <pivotArea type="data" outline="0" fieldPosition="0">
        <references count="1">
          <reference field="4294967294" count="1" selected="0">
            <x v="0"/>
          </reference>
        </references>
      </pivotArea>
    </chartFormat>
    <chartFormat chart="233" format="13">
      <pivotArea type="data" outline="0" fieldPosition="0">
        <references count="1">
          <reference field="4294967294" count="1" selected="0">
            <x v="1"/>
          </reference>
        </references>
      </pivotArea>
    </chartFormat>
    <chartFormat chart="233"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m="1" x="3"/>
        <item h="1" m="1" x="1"/>
        <item h="1" m="1" x="2"/>
        <item x="0"/>
        <item h="1" m="1" x="6"/>
        <item h="1" m="1" x="5"/>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1"/>
        <item m="1" x="2"/>
        <item x="0"/>
        <item m="1" x="3"/>
        <item t="default"/>
      </items>
    </pivotField>
    <pivotField showAll="0">
      <items count="6">
        <item h="1" m="1" x="2"/>
        <item h="1" x="0"/>
        <item h="1" m="1" x="3"/>
        <item x="1"/>
        <item h="1" m="1" x="4"/>
        <item t="default"/>
      </items>
    </pivotField>
    <pivotField showAll="0">
      <items count="66">
        <item m="1" x="34"/>
        <item m="1" x="1"/>
        <item m="1" x="3"/>
        <item m="1" x="22"/>
        <item m="1" x="8"/>
        <item m="1" x="56"/>
        <item m="1" x="53"/>
        <item m="1" x="24"/>
        <item m="1" x="57"/>
        <item m="1" x="13"/>
        <item m="1" x="4"/>
        <item m="1" x="55"/>
        <item m="1" x="41"/>
        <item m="1" x="46"/>
        <item m="1" x="27"/>
        <item m="1" x="12"/>
        <item m="1" x="29"/>
        <item m="1" x="5"/>
        <item m="1" x="47"/>
        <item m="1" x="60"/>
        <item m="1" x="14"/>
        <item m="1" x="37"/>
        <item m="1" x="20"/>
        <item m="1" x="11"/>
        <item m="1" x="23"/>
        <item m="1" x="44"/>
        <item m="1" x="59"/>
        <item m="1" x="17"/>
        <item m="1" x="52"/>
        <item m="1" x="25"/>
        <item m="1" x="35"/>
        <item m="1" x="26"/>
        <item m="1" x="36"/>
        <item m="1" x="10"/>
        <item m="1" x="42"/>
        <item m="1" x="2"/>
        <item m="1" x="64"/>
        <item m="1" x="28"/>
        <item m="1" x="54"/>
        <item m="1" x="16"/>
        <item m="1" x="18"/>
        <item m="1" x="39"/>
        <item m="1" x="9"/>
        <item m="1" x="49"/>
        <item m="1" x="51"/>
        <item m="1" x="61"/>
        <item m="1" x="7"/>
        <item m="1" x="19"/>
        <item m="1" x="40"/>
        <item m="1" x="58"/>
        <item m="1" x="33"/>
        <item m="1" x="63"/>
        <item m="1" x="21"/>
        <item m="1" x="62"/>
        <item m="1" x="6"/>
        <item m="1" x="45"/>
        <item m="1" x="30"/>
        <item m="1" x="50"/>
        <item m="1" x="31"/>
        <item m="1" x="38"/>
        <item m="1" x="43"/>
        <item m="1" x="32"/>
        <item m="1" x="15"/>
        <item m="1" x="48"/>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m="1" x="3"/>
        <item h="1" m="1" x="1"/>
        <item h="1" m="1" x="2"/>
        <item x="0"/>
        <item h="1" m="1" x="6"/>
        <item h="1" m="1" x="5"/>
        <item h="1" m="1" x="4"/>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1"/>
        <item m="1" x="2"/>
        <item x="0"/>
        <item m="1" x="3"/>
        <item t="default"/>
      </items>
    </pivotField>
    <pivotField showAll="0">
      <items count="6">
        <item h="1" m="1" x="2"/>
        <item h="1" x="0"/>
        <item h="1" m="1" x="3"/>
        <item x="1"/>
        <item h="1" m="1" x="4"/>
        <item t="default"/>
      </items>
    </pivotField>
    <pivotField showAll="0">
      <items count="66">
        <item m="1" x="34"/>
        <item m="1" x="1"/>
        <item m="1" x="3"/>
        <item m="1" x="22"/>
        <item m="1" x="8"/>
        <item m="1" x="56"/>
        <item m="1" x="53"/>
        <item m="1" x="24"/>
        <item m="1" x="57"/>
        <item m="1" x="13"/>
        <item m="1" x="4"/>
        <item m="1" x="55"/>
        <item m="1" x="41"/>
        <item m="1" x="46"/>
        <item m="1" x="27"/>
        <item m="1" x="12"/>
        <item m="1" x="29"/>
        <item m="1" x="5"/>
        <item m="1" x="47"/>
        <item m="1" x="60"/>
        <item m="1" x="14"/>
        <item m="1" x="37"/>
        <item m="1" x="20"/>
        <item m="1" x="11"/>
        <item m="1" x="23"/>
        <item m="1" x="44"/>
        <item m="1" x="59"/>
        <item m="1" x="17"/>
        <item m="1" x="52"/>
        <item m="1" x="25"/>
        <item m="1" x="35"/>
        <item m="1" x="26"/>
        <item m="1" x="36"/>
        <item m="1" x="10"/>
        <item m="1" x="42"/>
        <item m="1" x="2"/>
        <item m="1" x="64"/>
        <item m="1" x="28"/>
        <item m="1" x="54"/>
        <item m="1" x="16"/>
        <item m="1" x="18"/>
        <item m="1" x="39"/>
        <item m="1" x="9"/>
        <item m="1" x="49"/>
        <item m="1" x="51"/>
        <item m="1" x="61"/>
        <item m="1" x="7"/>
        <item m="1" x="19"/>
        <item m="1" x="40"/>
        <item m="1" x="58"/>
        <item m="1" x="33"/>
        <item m="1" x="63"/>
        <item m="1" x="21"/>
        <item m="1" x="62"/>
        <item m="1" x="6"/>
        <item m="1" x="45"/>
        <item m="1" x="30"/>
        <item m="1" x="50"/>
        <item m="1" x="31"/>
        <item m="1" x="38"/>
        <item m="1" x="43"/>
        <item m="1" x="32"/>
        <item m="1" x="15"/>
        <item m="1" x="48"/>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1" s="1" nd="1"/>
        <i x="2" s="1" nd="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i x="1" s="1"/>
        <i x="2" nd="1"/>
        <i x="3" nd="1"/>
        <i x="4"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65">
        <i x="0" s="1"/>
        <i x="34" s="1" nd="1"/>
        <i x="1" s="1" nd="1"/>
        <i x="3" s="1" nd="1"/>
        <i x="22" s="1" nd="1"/>
        <i x="8" s="1" nd="1"/>
        <i x="56" s="1" nd="1"/>
        <i x="53" s="1" nd="1"/>
        <i x="24" s="1" nd="1"/>
        <i x="57" s="1" nd="1"/>
        <i x="13" s="1" nd="1"/>
        <i x="4" s="1" nd="1"/>
        <i x="55" s="1" nd="1"/>
        <i x="41" s="1" nd="1"/>
        <i x="46" s="1" nd="1"/>
        <i x="27" s="1" nd="1"/>
        <i x="12" s="1" nd="1"/>
        <i x="29" s="1" nd="1"/>
        <i x="5" s="1" nd="1"/>
        <i x="47" s="1" nd="1"/>
        <i x="60" s="1" nd="1"/>
        <i x="14" s="1" nd="1"/>
        <i x="37" s="1" nd="1"/>
        <i x="20" s="1" nd="1"/>
        <i x="11" s="1" nd="1"/>
        <i x="23" s="1" nd="1"/>
        <i x="44" s="1" nd="1"/>
        <i x="59" s="1" nd="1"/>
        <i x="17" s="1" nd="1"/>
        <i x="52" s="1" nd="1"/>
        <i x="25" s="1" nd="1"/>
        <i x="35" s="1" nd="1"/>
        <i x="26" s="1" nd="1"/>
        <i x="36" s="1" nd="1"/>
        <i x="10" s="1" nd="1"/>
        <i x="42" s="1" nd="1"/>
        <i x="2" s="1" nd="1"/>
        <i x="64" s="1" nd="1"/>
        <i x="28" s="1" nd="1"/>
        <i x="54" s="1" nd="1"/>
        <i x="16" s="1" nd="1"/>
        <i x="18" s="1" nd="1"/>
        <i x="39" s="1" nd="1"/>
        <i x="9" s="1" nd="1"/>
        <i x="49" s="1" nd="1"/>
        <i x="51" s="1" nd="1"/>
        <i x="61" s="1" nd="1"/>
        <i x="7" s="1" nd="1"/>
        <i x="19" s="1" nd="1"/>
        <i x="40" s="1" nd="1"/>
        <i x="58" s="1" nd="1"/>
        <i x="33" s="1" nd="1"/>
        <i x="63" s="1" nd="1"/>
        <i x="21" s="1" nd="1"/>
        <i x="62" s="1" nd="1"/>
        <i x="6" s="1" nd="1"/>
        <i x="45" s="1" nd="1"/>
        <i x="30" s="1" nd="1"/>
        <i x="50" s="1" nd="1"/>
        <i x="31" s="1" nd="1"/>
        <i x="38" s="1" nd="1"/>
        <i x="43" s="1" nd="1"/>
        <i x="32" s="1" nd="1"/>
        <i x="15" s="1" nd="1"/>
        <i x="4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1" xr10:uid="{D5AE3A3E-3F4B-499B-A1FA-C30636E15DA7}" cache="Slicer_Priority" caption="Priority" style="SlicerStyleLight2" rowHeight="241300"/>
  <slicer name="Status 1" xr10:uid="{905CEF9A-3718-4EFB-8C22-28ADFEC0C877}" cache="Slicer_Status" caption="Status" style="SlicerStyleLight6" rowHeight="241300"/>
  <slicer name="Resource 1" xr10:uid="{810155F3-1C96-43DA-A1CD-B6DD2FA1E39B}" cache="Slicer_Resource" caption="Resource"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E2DD73-B43B-4790-AAB2-150E96843801}" name="DashboardTable" displayName="DashboardTable" ref="A1:BE10" totalsRowShown="0">
  <autoFilter ref="A1:BE10" xr:uid="{51E2DD73-B43B-4790-AAB2-150E96843801}"/>
  <tableColumns count="57">
    <tableColumn id="1" xr3:uid="{D557D84F-DC07-4A19-91DA-8092171739DE}" name="ProjectID"/>
    <tableColumn id="2" xr3:uid="{4C3B1D5E-8630-4010-9DCE-87CCF2056088}" name="dType"/>
    <tableColumn id="3" xr3:uid="{1A6B8F88-2D0A-428E-A50B-8B95944818C5}" name="GEType"/>
    <tableColumn id="4" xr3:uid="{1982F79F-BF34-4548-8243-78310136ABEC}" name="TID"/>
    <tableColumn id="5" xr3:uid="{EC41C018-E5D1-4ED7-961C-0C88E8CDC0CE}" name="Dependency"/>
    <tableColumn id="6" xr3:uid="{2E555464-0DC7-478E-9FFB-AF782FCFD9EE}" name="Dependents"/>
    <tableColumn id="7" xr3:uid="{ECA4B557-C072-40B7-B78F-C56B1E9C2EA2}" name="StartConstrain"/>
    <tableColumn id="8" xr3:uid="{68EF6417-4CE4-456C-B27C-9213C3DD4C31}" name="EndConstrain"/>
    <tableColumn id="9" xr3:uid="{045F9029-C425-4E94-A67B-FEF5FA94D961}" name="TIL"/>
    <tableColumn id="10" xr3:uid="{314E5B85-2D55-44EB-8E12-5C5CF4A18F32}" name="SS"/>
    <tableColumn id="11" xr3:uid="{7EEF543E-191A-44A8-8AE6-951374E9036C}" name="TaskIcon"/>
    <tableColumn id="12" xr3:uid="{20BA3696-0524-40B3-81F1-42FAC8E8DF42}" name="WBS"/>
    <tableColumn id="13" xr3:uid="{2073F137-514C-4AC3-8F55-58AD013F1F7E}" name="Task"/>
    <tableColumn id="14" xr3:uid="{9611CE13-5D8C-4F22-A487-F543CF16C67D}" name="Priority"/>
    <tableColumn id="15" xr3:uid="{D34A1BED-2DD7-43B1-842C-3038B72BB8ED}" name="Status"/>
    <tableColumn id="16" xr3:uid="{F4601BE4-B6F8-4F81-A5B8-A898771FCDA6}" name="Resource"/>
    <tableColumn id="17" xr3:uid="{2E19A314-B40D-40A4-8C7E-71EF85D24C05}" name="ResourceCost"/>
    <tableColumn id="18" xr3:uid="{02894A88-43BC-4216-BF6F-F290908D76B2}" name="BSD"/>
    <tableColumn id="19" xr3:uid="{4253950A-A81A-41AF-900F-037212D25BD4}" name="BED"/>
    <tableColumn id="20" xr3:uid="{504FA8D7-E47A-40C7-8126-84B27791DEBA}" name="BD"/>
    <tableColumn id="21" xr3:uid="{29828BAB-CB30-4A9C-8AEA-AC441ADC1738}" name="ESD" dataDxfId="3"/>
    <tableColumn id="22" xr3:uid="{D442561B-8ECA-4770-B611-29D715991725}" name="EED" dataDxfId="2"/>
    <tableColumn id="23" xr3:uid="{75A87D2F-947D-4940-8DEC-81EF96FFD30C}" name="ED"/>
    <tableColumn id="24" xr3:uid="{BD2A97B6-158F-4DCD-BDF1-A397F5C3F1BF}" name="WBSPredecessors"/>
    <tableColumn id="25" xr3:uid="{32B4B186-1381-4785-97EE-2962DF5FFADE}" name="WBSSuccessors"/>
    <tableColumn id="26" xr3:uid="{77BC014A-77D6-47AB-9EFA-AA27DDEE7D6A}" name="Work"/>
    <tableColumn id="27" xr3:uid="{FA4E1BB8-A089-4F2C-94C4-75ECDE28A363}" name="Done"/>
    <tableColumn id="28" xr3:uid="{4B6AB2A3-AC5C-4927-A18E-C7FBD34D0C64}" name="PercentageCompleted"/>
    <tableColumn id="29" xr3:uid="{1563B6AC-CB2B-4C77-A86F-FBAE77E6CD59}" name="ASD"/>
    <tableColumn id="30" xr3:uid="{AFC57CF1-2CFB-4B8C-96B4-99F2E3A531B8}" name="AED"/>
    <tableColumn id="31" xr3:uid="{6AF8F15E-81D7-4753-9300-B1F8E15D2F35}" name="AD"/>
    <tableColumn id="32" xr3:uid="{4E68ABBA-41EE-482F-8006-B6559CF3B8FE}" name="BCS"/>
    <tableColumn id="33" xr3:uid="{A26C557F-02F1-4616-A8BF-9816D8922FC8}" name="ECS"/>
    <tableColumn id="34" xr3:uid="{F56AA346-99A3-40A1-8388-C74C09A070B9}" name="ACS"/>
    <tableColumn id="35" xr3:uid="{0B725E25-4039-45A4-9564-1FAB7F19ACEF}" name="Notes"/>
    <tableColumn id="36" xr3:uid="{B67A8ECB-FFA4-487C-A98C-7C1DFC87B1B5}" name="Custom 1"/>
    <tableColumn id="37" xr3:uid="{6E4BD578-05CE-40B0-9125-57F4BAB14C22}" name="Custom 2"/>
    <tableColumn id="38" xr3:uid="{28BD352D-E6BC-4777-AF4A-A38AF20F35C2}" name="Custom 3"/>
    <tableColumn id="39" xr3:uid="{5E1E3C43-6050-44D4-8DF2-7C9915D7A318}" name="Custom 4"/>
    <tableColumn id="40" xr3:uid="{FA9A4B82-D7B9-4D47-9946-CC1456EE8B09}" name="Custom 5"/>
    <tableColumn id="41" xr3:uid="{D58C8E12-CA35-4FC4-939D-357D82FAEC0D}" name="Custom 6"/>
    <tableColumn id="42" xr3:uid="{6BA621EC-688F-43E6-B808-410DAC5FC244}" name="Custom 7"/>
    <tableColumn id="43" xr3:uid="{BB9CB3A1-48A9-41B7-9B88-B259B22F0CE3}" name="Custom 8"/>
    <tableColumn id="44" xr3:uid="{942630E8-0F6F-4C21-98B8-A26F90DEAE91}" name="Custom 9"/>
    <tableColumn id="45" xr3:uid="{A39EA831-3342-4970-8473-5E641029FAB3}" name="Custom 10"/>
    <tableColumn id="46" xr3:uid="{884BEB8C-7C83-42BF-90F6-D3E5B9E9ECC5}" name="Custom 11"/>
    <tableColumn id="47" xr3:uid="{0FE6C53B-18E9-4F54-98EC-CC63B071D628}" name="Custom 12"/>
    <tableColumn id="48" xr3:uid="{284C6626-30EE-4209-B05B-6B9D5986E62C}" name="Custom 13"/>
    <tableColumn id="49" xr3:uid="{77D5B211-0266-4F51-841B-25011DC18564}" name="Custom 14"/>
    <tableColumn id="50" xr3:uid="{850D981B-74E2-4CE1-AC06-98934A28B368}" name="Custom 15"/>
    <tableColumn id="51" xr3:uid="{40CCCFC5-E679-4E16-A5D0-484B35B319CE}" name="Custom 16"/>
    <tableColumn id="52" xr3:uid="{F3491376-4867-4083-B9E5-B80441E08508}" name="Custom 17"/>
    <tableColumn id="53" xr3:uid="{E760D1B3-75E1-4C33-8C50-BA129B118475}" name="Custom 18"/>
    <tableColumn id="54" xr3:uid="{E5B7A924-D16E-4828-B704-2B8CC0F76707}" name="Custom 19"/>
    <tableColumn id="55" xr3:uid="{D5C4E28F-97F0-47DB-9739-7EE20114A9BC}" name="Custom 20"/>
    <tableColumn id="56" xr3:uid="{A0FDC4A8-5916-466C-AAC6-126731F0A884}" name="LC"/>
    <tableColumn id="57" xr3:uid="{77A854FD-A000-446D-A255-1F5161D14998}" name="ProjectFilter">
      <calculatedColumnFormula>DashboardTable[[#This Row],[ProjectID]]='Project Dashboard'!$P$2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3" xr10:uid="{D5169C2E-5A3E-4824-8F45-2C8DE6C9AE84}" cache="NativeTimeline_EED" caption="Task Due Date" level="2" selectionLevel="2" scrollPosition="2025-01-01T00:00:00" style="TimeSlicerStyleLight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5-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291331921059861397862913522394864013771059744140" TargetMode="External"/><Relationship Id="rId2" Type="http://schemas.openxmlformats.org/officeDocument/2006/relationships/hyperlink" Target="https://www.ganttexcel.com/how-to-create-a-gantt-chart-in-excel/?utm_source=XLCpcQSG&amp;utm_medium=291331921059861397862913522394864013771059744140" TargetMode="External"/><Relationship Id="rId1" Type="http://schemas.openxmlformats.org/officeDocument/2006/relationships/hyperlink" Target="https://www.ganttexcel.com/documentation/enable-macros/?utm_source=XLCpcEnableMacros&amp;utm_medium=291331921059861397862913522394864013771059744140" TargetMode="External"/><Relationship Id="rId5" Type="http://schemas.openxmlformats.org/officeDocument/2006/relationships/drawing" Target="../drawings/drawing7.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0"/>
  <sheetViews>
    <sheetView workbookViewId="0">
      <selection activeCell="E66" sqref="E66"/>
    </sheetView>
  </sheetViews>
  <sheetFormatPr defaultRowHeight="14.4" x14ac:dyDescent="0.3"/>
  <cols>
    <col min="1" max="4" width="12.6640625" customWidth="1"/>
    <col min="5" max="5" width="15" customWidth="1"/>
    <col min="6" max="6" width="14.6640625" customWidth="1"/>
    <col min="7" max="7" width="16.44140625" customWidth="1"/>
    <col min="8" max="8" width="15.5546875" customWidth="1"/>
    <col min="9" max="16" width="12.6640625" customWidth="1"/>
    <col min="17" max="17" width="15.33203125" customWidth="1"/>
    <col min="18" max="23" width="12.6640625" customWidth="1"/>
    <col min="24" max="24" width="19" customWidth="1"/>
    <col min="25" max="26" width="23" customWidth="1"/>
    <col min="27" max="27" width="12.6640625" customWidth="1"/>
    <col min="28" max="28" width="23" customWidth="1"/>
    <col min="29" max="49" width="12.6640625" customWidth="1"/>
    <col min="50" max="55" width="12.33203125" customWidth="1"/>
    <col min="56" max="56" width="13.109375" customWidth="1"/>
    <col min="57" max="57" width="13.33203125" customWidth="1"/>
    <col min="58" max="58" width="13.44140625" customWidth="1"/>
    <col min="59" max="59" width="13.109375" customWidth="1"/>
    <col min="60" max="60" width="13.33203125" customWidth="1"/>
    <col min="61" max="62" width="13.44140625" customWidth="1"/>
  </cols>
  <sheetData>
    <row r="1" spans="1:57" x14ac:dyDescent="0.3">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3">
      <c r="A2">
        <v>1</v>
      </c>
      <c r="B2" t="s">
        <v>158</v>
      </c>
      <c r="C2" t="s">
        <v>158</v>
      </c>
      <c r="D2">
        <v>1</v>
      </c>
      <c r="I2">
        <v>0</v>
      </c>
      <c r="K2" t="s">
        <v>160</v>
      </c>
      <c r="L2">
        <v>1</v>
      </c>
      <c r="M2" t="s">
        <v>308</v>
      </c>
      <c r="N2" t="s">
        <v>159</v>
      </c>
      <c r="O2" t="s">
        <v>331</v>
      </c>
      <c r="U2" s="22">
        <v>46004</v>
      </c>
      <c r="V2" s="22">
        <v>46012</v>
      </c>
      <c r="W2">
        <v>5</v>
      </c>
      <c r="AA2">
        <v>0</v>
      </c>
      <c r="AB2">
        <v>0.5</v>
      </c>
      <c r="BE2" t="b">
        <f>DashboardTable[[#This Row],[ProjectID]]='Project Dashboard'!$P$2</f>
        <v>1</v>
      </c>
    </row>
    <row r="3" spans="1:57" x14ac:dyDescent="0.3">
      <c r="A3">
        <v>1</v>
      </c>
      <c r="B3" t="s">
        <v>158</v>
      </c>
      <c r="C3" t="s">
        <v>158</v>
      </c>
      <c r="D3">
        <v>2</v>
      </c>
      <c r="I3">
        <v>0</v>
      </c>
      <c r="K3" t="s">
        <v>160</v>
      </c>
      <c r="L3">
        <v>2</v>
      </c>
      <c r="M3" t="s">
        <v>309</v>
      </c>
      <c r="N3" t="s">
        <v>159</v>
      </c>
      <c r="O3" t="s">
        <v>58</v>
      </c>
      <c r="U3" s="22">
        <v>46004</v>
      </c>
      <c r="V3" s="22">
        <v>46006</v>
      </c>
      <c r="W3">
        <v>1</v>
      </c>
      <c r="AA3">
        <v>0</v>
      </c>
      <c r="AB3">
        <v>0</v>
      </c>
      <c r="BE3" t="b">
        <f>DashboardTable[[#This Row],[ProjectID]]='Project Dashboard'!$P$2</f>
        <v>1</v>
      </c>
    </row>
    <row r="4" spans="1:57" x14ac:dyDescent="0.3">
      <c r="A4">
        <v>1</v>
      </c>
      <c r="B4" t="s">
        <v>158</v>
      </c>
      <c r="C4" t="s">
        <v>158</v>
      </c>
      <c r="D4">
        <v>3</v>
      </c>
      <c r="I4">
        <v>0</v>
      </c>
      <c r="K4" t="s">
        <v>160</v>
      </c>
      <c r="L4">
        <v>3</v>
      </c>
      <c r="M4" t="s">
        <v>310</v>
      </c>
      <c r="N4" t="s">
        <v>159</v>
      </c>
      <c r="O4" t="s">
        <v>58</v>
      </c>
      <c r="U4" s="22">
        <v>46004</v>
      </c>
      <c r="V4" s="22">
        <v>46006</v>
      </c>
      <c r="W4">
        <v>1</v>
      </c>
      <c r="AA4">
        <v>0</v>
      </c>
      <c r="AB4">
        <v>0</v>
      </c>
      <c r="BE4" t="b">
        <f>DashboardTable[[#This Row],[ProjectID]]='Project Dashboard'!$P$2</f>
        <v>1</v>
      </c>
    </row>
    <row r="5" spans="1:57" x14ac:dyDescent="0.3">
      <c r="A5">
        <v>1</v>
      </c>
      <c r="B5" t="s">
        <v>158</v>
      </c>
      <c r="C5" t="s">
        <v>158</v>
      </c>
      <c r="D5">
        <v>4</v>
      </c>
      <c r="I5">
        <v>0</v>
      </c>
      <c r="K5" t="s">
        <v>160</v>
      </c>
      <c r="L5">
        <v>4</v>
      </c>
      <c r="M5" t="s">
        <v>311</v>
      </c>
      <c r="N5" t="s">
        <v>159</v>
      </c>
      <c r="O5" t="s">
        <v>58</v>
      </c>
      <c r="U5" s="22">
        <v>46004</v>
      </c>
      <c r="V5" s="22">
        <v>46006</v>
      </c>
      <c r="W5">
        <v>1</v>
      </c>
      <c r="AA5">
        <v>0</v>
      </c>
      <c r="AB5">
        <v>0</v>
      </c>
      <c r="BE5" t="b">
        <f>DashboardTable[[#This Row],[ProjectID]]='Project Dashboard'!$P$2</f>
        <v>1</v>
      </c>
    </row>
    <row r="6" spans="1:57" x14ac:dyDescent="0.3">
      <c r="A6">
        <v>1</v>
      </c>
      <c r="B6" t="s">
        <v>158</v>
      </c>
      <c r="C6" t="s">
        <v>158</v>
      </c>
      <c r="D6">
        <v>5</v>
      </c>
      <c r="I6">
        <v>0</v>
      </c>
      <c r="K6" t="s">
        <v>160</v>
      </c>
      <c r="L6">
        <v>5</v>
      </c>
      <c r="M6" t="s">
        <v>312</v>
      </c>
      <c r="N6" t="s">
        <v>159</v>
      </c>
      <c r="O6" t="s">
        <v>58</v>
      </c>
      <c r="U6" s="22">
        <v>46004</v>
      </c>
      <c r="V6" s="22">
        <v>46006</v>
      </c>
      <c r="W6">
        <v>1</v>
      </c>
      <c r="AA6">
        <v>0</v>
      </c>
      <c r="AB6">
        <v>0</v>
      </c>
      <c r="BE6" t="b">
        <f>DashboardTable[[#This Row],[ProjectID]]='Project Dashboard'!$P$2</f>
        <v>1</v>
      </c>
    </row>
    <row r="7" spans="1:57" x14ac:dyDescent="0.3">
      <c r="A7">
        <v>1</v>
      </c>
      <c r="B7" t="s">
        <v>158</v>
      </c>
      <c r="C7" t="s">
        <v>158</v>
      </c>
      <c r="D7">
        <v>6</v>
      </c>
      <c r="I7">
        <v>0</v>
      </c>
      <c r="K7" t="s">
        <v>160</v>
      </c>
      <c r="L7">
        <v>6</v>
      </c>
      <c r="M7" t="s">
        <v>313</v>
      </c>
      <c r="N7" t="s">
        <v>159</v>
      </c>
      <c r="O7" t="s">
        <v>58</v>
      </c>
      <c r="U7" s="22">
        <v>46004</v>
      </c>
      <c r="V7" s="22">
        <v>46006</v>
      </c>
      <c r="W7">
        <v>1</v>
      </c>
      <c r="AA7">
        <v>0</v>
      </c>
      <c r="AB7">
        <v>0</v>
      </c>
      <c r="BE7" t="b">
        <f>DashboardTable[[#This Row],[ProjectID]]='Project Dashboard'!$P$2</f>
        <v>1</v>
      </c>
    </row>
    <row r="8" spans="1:57" x14ac:dyDescent="0.3">
      <c r="A8">
        <v>1</v>
      </c>
      <c r="B8" t="s">
        <v>158</v>
      </c>
      <c r="C8" t="s">
        <v>158</v>
      </c>
      <c r="D8">
        <v>7</v>
      </c>
      <c r="I8">
        <v>0</v>
      </c>
      <c r="K8" t="s">
        <v>160</v>
      </c>
      <c r="L8">
        <v>7</v>
      </c>
      <c r="M8" t="s">
        <v>314</v>
      </c>
      <c r="N8" t="s">
        <v>159</v>
      </c>
      <c r="O8" t="s">
        <v>58</v>
      </c>
      <c r="U8" s="22">
        <v>46004</v>
      </c>
      <c r="V8" s="22">
        <v>46006</v>
      </c>
      <c r="W8">
        <v>1</v>
      </c>
      <c r="AA8">
        <v>0</v>
      </c>
      <c r="AB8">
        <v>0</v>
      </c>
      <c r="BE8" t="b">
        <f>DashboardTable[[#This Row],[ProjectID]]='Project Dashboard'!$P$2</f>
        <v>1</v>
      </c>
    </row>
    <row r="9" spans="1:57" x14ac:dyDescent="0.3">
      <c r="A9">
        <v>1</v>
      </c>
      <c r="B9" t="s">
        <v>158</v>
      </c>
      <c r="C9" t="s">
        <v>158</v>
      </c>
      <c r="D9">
        <v>8</v>
      </c>
      <c r="I9">
        <v>0</v>
      </c>
      <c r="K9" t="s">
        <v>160</v>
      </c>
      <c r="L9">
        <v>8</v>
      </c>
      <c r="M9" t="s">
        <v>315</v>
      </c>
      <c r="N9" t="s">
        <v>159</v>
      </c>
      <c r="O9" t="s">
        <v>58</v>
      </c>
      <c r="U9" s="22">
        <v>46004</v>
      </c>
      <c r="V9" s="22">
        <v>46006</v>
      </c>
      <c r="W9">
        <v>1</v>
      </c>
      <c r="AA9">
        <v>0</v>
      </c>
      <c r="AB9">
        <v>0</v>
      </c>
      <c r="BE9" t="b">
        <f>DashboardTable[[#This Row],[ProjectID]]='Project Dashboard'!$P$2</f>
        <v>1</v>
      </c>
    </row>
    <row r="10" spans="1:57" x14ac:dyDescent="0.3">
      <c r="A10">
        <v>1</v>
      </c>
      <c r="B10" t="s">
        <v>158</v>
      </c>
      <c r="C10" t="s">
        <v>158</v>
      </c>
      <c r="D10">
        <v>9</v>
      </c>
      <c r="I10">
        <v>0</v>
      </c>
      <c r="K10" t="s">
        <v>160</v>
      </c>
      <c r="L10">
        <v>9</v>
      </c>
      <c r="M10" t="s">
        <v>316</v>
      </c>
      <c r="N10" t="s">
        <v>159</v>
      </c>
      <c r="O10" t="s">
        <v>58</v>
      </c>
      <c r="U10" s="22">
        <v>46004</v>
      </c>
      <c r="V10" s="22">
        <v>46006</v>
      </c>
      <c r="W10">
        <v>1</v>
      </c>
      <c r="AA10">
        <v>0</v>
      </c>
      <c r="AB10">
        <v>0</v>
      </c>
      <c r="BE10" t="b">
        <f>DashboardTable[[#This Row],[ProjectID]]='Project Dashboard'!$P$2</f>
        <v>1</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B6913-678A-4C56-8BAF-28E238A2F64F}">
  <sheetPr codeName="GDT1"/>
  <dimension ref="A1:BA62"/>
  <sheetViews>
    <sheetView showGridLines="0" showRowColHeaders="0" zoomScaleNormal="100" workbookViewId="0">
      <selection activeCell="B2" sqref="B2:E2"/>
    </sheetView>
  </sheetViews>
  <sheetFormatPr defaultColWidth="0" defaultRowHeight="14.4" x14ac:dyDescent="0.3"/>
  <cols>
    <col min="1" max="1" width="1" customWidth="1"/>
    <col min="2" max="13" width="15.6640625" customWidth="1"/>
    <col min="14" max="15" width="15.6640625" hidden="1" customWidth="1"/>
    <col min="16" max="16" width="6.3320312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6640625" hidden="1" customWidth="1"/>
    <col min="23" max="23" width="10.33203125" hidden="1" customWidth="1"/>
    <col min="24" max="24" width="9.6640625" hidden="1" customWidth="1"/>
    <col min="25" max="25" width="10.33203125" hidden="1" customWidth="1"/>
    <col min="26" max="26" width="6" hidden="1" customWidth="1"/>
    <col min="27" max="27" width="10.44140625" hidden="1" customWidth="1"/>
    <col min="28" max="28" width="9.6640625" hidden="1" customWidth="1"/>
    <col min="29" max="30" width="6.33203125" hidden="1" customWidth="1"/>
    <col min="31" max="16384" width="6" hidden="1"/>
  </cols>
  <sheetData>
    <row r="1" spans="1:53" s="2" customFormat="1" ht="11.25" customHeight="1" x14ac:dyDescent="0.3">
      <c r="A1" s="45" t="s">
        <v>317</v>
      </c>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0" t="s">
        <v>192</v>
      </c>
      <c r="X1" s="101" t="s">
        <v>191</v>
      </c>
      <c r="Y1" s="102" t="s">
        <v>193</v>
      </c>
      <c r="Z1" s="46" t="s">
        <v>194</v>
      </c>
      <c r="AA1" s="46" t="s">
        <v>195</v>
      </c>
      <c r="AB1" s="46" t="s">
        <v>196</v>
      </c>
      <c r="AC1" s="46" t="s">
        <v>3</v>
      </c>
      <c r="AD1" s="103" t="s">
        <v>197</v>
      </c>
      <c r="AE1" s="104" t="s">
        <v>198</v>
      </c>
      <c r="AF1" s="101" t="s">
        <v>199</v>
      </c>
      <c r="AG1" s="105" t="s">
        <v>200</v>
      </c>
      <c r="AH1" s="103" t="s">
        <v>232</v>
      </c>
      <c r="AI1" s="102" t="s">
        <v>233</v>
      </c>
      <c r="AJ1" s="105"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399999999999999" thickBot="1" x14ac:dyDescent="0.45">
      <c r="A2" s="36"/>
      <c r="B2" s="189" t="s">
        <v>186</v>
      </c>
      <c r="C2" s="189"/>
      <c r="D2" s="189"/>
      <c r="E2" s="189"/>
      <c r="F2" s="35"/>
      <c r="G2" s="35"/>
      <c r="H2" s="36"/>
      <c r="I2" s="37"/>
      <c r="J2" s="37"/>
      <c r="K2" s="37"/>
      <c r="L2" s="37"/>
      <c r="M2" s="38"/>
      <c r="N2" s="38"/>
      <c r="O2" s="37"/>
      <c r="P2" s="46">
        <v>1</v>
      </c>
      <c r="Q2" s="46" t="s">
        <v>201</v>
      </c>
      <c r="R2" s="46" t="s">
        <v>201</v>
      </c>
      <c r="S2" s="179"/>
      <c r="T2" s="49">
        <v>5.5555555555555552E-2</v>
      </c>
      <c r="U2" s="47">
        <v>0</v>
      </c>
      <c r="V2" s="47">
        <v>0</v>
      </c>
      <c r="W2" s="47">
        <v>0</v>
      </c>
      <c r="X2" s="47">
        <v>0</v>
      </c>
      <c r="Y2" s="47">
        <v>0</v>
      </c>
      <c r="Z2" s="46" t="s">
        <v>8</v>
      </c>
      <c r="AA2" s="48">
        <v>46004</v>
      </c>
      <c r="AB2" s="48">
        <v>46012</v>
      </c>
      <c r="AC2" s="46">
        <v>9</v>
      </c>
      <c r="AD2" s="46">
        <v>0</v>
      </c>
      <c r="AE2" s="46">
        <v>1</v>
      </c>
      <c r="AF2" s="46">
        <v>8</v>
      </c>
      <c r="AG2" s="46">
        <v>0</v>
      </c>
      <c r="AH2" s="46"/>
      <c r="AI2" s="46"/>
      <c r="AJ2" s="46"/>
      <c r="AK2" s="46"/>
      <c r="AL2" s="46"/>
      <c r="AM2" s="46"/>
      <c r="AN2" s="46"/>
      <c r="AO2" s="46"/>
      <c r="AP2" s="46"/>
      <c r="AQ2" s="46"/>
      <c r="AR2" s="46"/>
      <c r="AS2" s="178">
        <v>0</v>
      </c>
      <c r="AT2" s="178">
        <v>0</v>
      </c>
      <c r="AU2" s="46"/>
      <c r="AV2" s="46" t="str">
        <f>IF($AX$2=0,"Planned",IF($AX$2=1,"Completed","In-Progress"))</f>
        <v>In-Progress</v>
      </c>
      <c r="AW2" s="46"/>
      <c r="AX2" s="49">
        <f>T2</f>
        <v>5.5555555555555552E-2</v>
      </c>
      <c r="AY2" s="49">
        <f>1-AX2</f>
        <v>0.94444444444444442</v>
      </c>
      <c r="AZ2" s="50">
        <f>IFERROR((Y2-U2)/U2,0)</f>
        <v>0</v>
      </c>
      <c r="BA2" s="42" t="str">
        <f>IF(AZ2&gt;0,TEXT(AZ2,"##%") &amp; " Over Target","")</f>
        <v/>
      </c>
    </row>
    <row r="3" spans="1:53" s="2" customFormat="1" ht="15" customHeight="1" thickTop="1" x14ac:dyDescent="0.3">
      <c r="A3" s="51"/>
      <c r="B3" s="190" t="s">
        <v>11</v>
      </c>
      <c r="C3" s="190"/>
      <c r="D3" s="190"/>
      <c r="E3" s="190"/>
      <c r="F3"/>
      <c r="G3"/>
      <c r="H3"/>
      <c r="P3" s="46">
        <v>0</v>
      </c>
      <c r="Q3" s="46" t="s">
        <v>202</v>
      </c>
      <c r="R3" s="46" t="s">
        <v>202</v>
      </c>
      <c r="S3" s="46"/>
      <c r="T3" s="49">
        <v>5.5555555555555552E-2</v>
      </c>
      <c r="U3" s="47">
        <v>0</v>
      </c>
      <c r="V3" s="47">
        <v>0</v>
      </c>
      <c r="W3" s="47">
        <v>0</v>
      </c>
      <c r="X3" s="47">
        <v>0</v>
      </c>
      <c r="Y3" s="47">
        <v>0</v>
      </c>
      <c r="Z3" s="46" t="s">
        <v>8</v>
      </c>
      <c r="AA3" s="48">
        <v>46004</v>
      </c>
      <c r="AB3" s="48">
        <v>46012</v>
      </c>
      <c r="AC3" s="46">
        <v>9</v>
      </c>
      <c r="AD3" s="46">
        <v>0</v>
      </c>
      <c r="AE3" s="46">
        <v>1</v>
      </c>
      <c r="AF3" s="46">
        <v>8</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3">
      <c r="A4"/>
      <c r="B4"/>
      <c r="C4"/>
      <c r="D4" s="29" t="s">
        <v>10</v>
      </c>
      <c r="E4" s="30" t="str">
        <f>AV2</f>
        <v>In-Progress</v>
      </c>
      <c r="F4" s="6"/>
      <c r="G4"/>
      <c r="H4"/>
      <c r="P4" s="46">
        <v>1</v>
      </c>
      <c r="Q4" s="46" t="s">
        <v>203</v>
      </c>
      <c r="R4" s="46" t="s">
        <v>186</v>
      </c>
      <c r="S4" s="46"/>
      <c r="T4" s="49">
        <v>5.5555555555555552E-2</v>
      </c>
      <c r="U4" s="47">
        <v>0</v>
      </c>
      <c r="V4" s="47">
        <v>0</v>
      </c>
      <c r="W4" s="47">
        <v>0</v>
      </c>
      <c r="X4" s="47">
        <v>0</v>
      </c>
      <c r="Y4" s="47">
        <v>0</v>
      </c>
      <c r="Z4" s="46" t="s">
        <v>8</v>
      </c>
      <c r="AA4" s="48">
        <v>46004</v>
      </c>
      <c r="AB4" s="48">
        <v>46012</v>
      </c>
      <c r="AC4" s="46">
        <v>9</v>
      </c>
      <c r="AD4" s="46">
        <v>0</v>
      </c>
      <c r="AE4" s="46">
        <v>1</v>
      </c>
      <c r="AF4" s="46">
        <v>8</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3">
      <c r="A5"/>
      <c r="B5"/>
      <c r="C5"/>
      <c r="D5" s="31" t="s">
        <v>9</v>
      </c>
      <c r="E5" s="109" t="str">
        <f>IF(S2 = "","",S2)</f>
        <v/>
      </c>
      <c r="F5" s="6"/>
      <c r="G5"/>
      <c r="H5"/>
    </row>
    <row r="6" spans="1:53" s="2" customFormat="1" ht="15" customHeight="1" x14ac:dyDescent="0.3">
      <c r="A6"/>
      <c r="B6"/>
      <c r="C6"/>
      <c r="D6" s="31" t="s">
        <v>7</v>
      </c>
      <c r="E6" s="32">
        <f>AA2</f>
        <v>46004</v>
      </c>
      <c r="F6" s="5"/>
      <c r="G6"/>
      <c r="H6"/>
    </row>
    <row r="7" spans="1:53" s="2" customFormat="1" ht="15" customHeight="1" x14ac:dyDescent="0.3">
      <c r="A7"/>
      <c r="B7"/>
      <c r="C7"/>
      <c r="D7" s="31" t="s">
        <v>5</v>
      </c>
      <c r="E7" s="32">
        <f>AB2</f>
        <v>46012</v>
      </c>
      <c r="F7" s="5"/>
      <c r="G7"/>
      <c r="H7"/>
    </row>
    <row r="8" spans="1:53" s="2" customFormat="1" ht="15" customHeight="1" x14ac:dyDescent="0.3">
      <c r="A8"/>
      <c r="B8"/>
      <c r="C8"/>
      <c r="D8" s="43"/>
      <c r="E8" s="44"/>
      <c r="F8" s="4"/>
      <c r="G8"/>
      <c r="H8"/>
    </row>
    <row r="9" spans="1:53" s="2" customFormat="1" ht="15" customHeight="1" x14ac:dyDescent="0.3">
      <c r="A9"/>
      <c r="B9" s="191"/>
      <c r="C9" s="191"/>
      <c r="D9" s="29" t="s">
        <v>3</v>
      </c>
      <c r="E9" s="33">
        <f>AC2</f>
        <v>9</v>
      </c>
      <c r="F9" s="4"/>
      <c r="G9"/>
      <c r="H9"/>
    </row>
    <row r="10" spans="1:53" s="2" customFormat="1" ht="15" customHeight="1" x14ac:dyDescent="0.3">
      <c r="A10"/>
      <c r="B10"/>
      <c r="C10"/>
      <c r="D10" s="31" t="s">
        <v>56</v>
      </c>
      <c r="E10" s="33">
        <f>AD2</f>
        <v>0</v>
      </c>
      <c r="F10" s="4"/>
      <c r="G10"/>
      <c r="H10"/>
    </row>
    <row r="11" spans="1:53" s="2" customFormat="1" ht="15" customHeight="1" x14ac:dyDescent="0.3">
      <c r="A11"/>
      <c r="B11"/>
      <c r="C11"/>
      <c r="D11" s="31" t="s">
        <v>57</v>
      </c>
      <c r="E11" s="33">
        <f>AE2</f>
        <v>1</v>
      </c>
      <c r="F11" s="4"/>
      <c r="G11"/>
      <c r="H11"/>
    </row>
    <row r="12" spans="1:53" s="2" customFormat="1" ht="15" customHeight="1" x14ac:dyDescent="0.3">
      <c r="A12"/>
      <c r="B12"/>
      <c r="C12"/>
      <c r="D12" s="31" t="s">
        <v>58</v>
      </c>
      <c r="E12" s="33">
        <f>AF2</f>
        <v>8</v>
      </c>
      <c r="F12" s="3"/>
      <c r="G12"/>
      <c r="H12"/>
    </row>
    <row r="13" spans="1:53" s="2" customFormat="1" ht="15" customHeight="1" x14ac:dyDescent="0.3">
      <c r="A13"/>
      <c r="B13"/>
      <c r="C13"/>
      <c r="D13" s="31" t="s">
        <v>59</v>
      </c>
      <c r="E13" s="34">
        <f>AG2</f>
        <v>0</v>
      </c>
      <c r="F13" s="3"/>
      <c r="G13"/>
      <c r="H13"/>
    </row>
    <row r="14" spans="1:53" s="2" customFormat="1" ht="15" customHeight="1" x14ac:dyDescent="0.3">
      <c r="A14"/>
      <c r="B14"/>
      <c r="C14"/>
      <c r="D14" s="28"/>
      <c r="E14" s="27"/>
      <c r="F14" s="3"/>
      <c r="G14"/>
      <c r="H14"/>
    </row>
    <row r="15" spans="1:53" s="2" customFormat="1" ht="15.6" x14ac:dyDescent="0.3">
      <c r="A15"/>
      <c r="B15" s="192"/>
      <c r="C15" s="192"/>
      <c r="D15" s="192"/>
      <c r="E15" s="192"/>
      <c r="F15" s="41"/>
      <c r="G15"/>
      <c r="H15"/>
    </row>
    <row r="16" spans="1:53" s="7" customFormat="1" ht="15" customHeight="1" x14ac:dyDescent="0.3">
      <c r="A16"/>
      <c r="B16" s="1"/>
      <c r="C16" s="1"/>
      <c r="D16" s="41"/>
      <c r="E16" s="41"/>
      <c r="F16" s="1"/>
      <c r="G16"/>
      <c r="H16" s="1"/>
    </row>
    <row r="17" spans="1:8" s="2" customFormat="1" x14ac:dyDescent="0.3">
      <c r="A17"/>
      <c r="B17"/>
      <c r="C17"/>
      <c r="D17" s="1"/>
      <c r="E17" s="1"/>
      <c r="F17"/>
      <c r="G17"/>
      <c r="H17"/>
    </row>
    <row r="18" spans="1:8" s="2" customFormat="1" ht="15" customHeight="1" x14ac:dyDescent="0.3">
      <c r="A18"/>
      <c r="B18"/>
      <c r="C18"/>
      <c r="D18" s="193" t="str">
        <f>BA2</f>
        <v/>
      </c>
      <c r="E18" s="193"/>
      <c r="F18"/>
      <c r="G18"/>
      <c r="H18"/>
    </row>
    <row r="19" spans="1:8" s="2" customFormat="1" ht="15" customHeight="1" x14ac:dyDescent="0.3">
      <c r="A19"/>
      <c r="B19"/>
      <c r="C19"/>
      <c r="D19"/>
      <c r="E19"/>
      <c r="F19"/>
      <c r="G19"/>
      <c r="H19"/>
    </row>
    <row r="20" spans="1:8" s="2" customFormat="1" ht="15" customHeight="1" x14ac:dyDescent="0.3">
      <c r="A20"/>
      <c r="B20" s="194"/>
      <c r="C20" s="194"/>
      <c r="D20"/>
      <c r="E20"/>
      <c r="F20"/>
      <c r="G20"/>
      <c r="H20"/>
    </row>
    <row r="21" spans="1:8" s="2" customFormat="1" ht="15" customHeight="1" x14ac:dyDescent="0.3">
      <c r="A21"/>
      <c r="B21"/>
      <c r="C21"/>
      <c r="D21" s="8"/>
      <c r="E21"/>
      <c r="F21"/>
      <c r="G21"/>
      <c r="H21"/>
    </row>
    <row r="22" spans="1:8" s="2" customFormat="1" ht="15" customHeight="1" x14ac:dyDescent="0.3">
      <c r="A22"/>
      <c r="B22"/>
      <c r="C22"/>
      <c r="D22"/>
      <c r="E22"/>
      <c r="F22"/>
      <c r="G22"/>
      <c r="H22"/>
    </row>
    <row r="23" spans="1:8" s="2" customFormat="1" ht="15" customHeight="1" x14ac:dyDescent="0.3">
      <c r="A23"/>
      <c r="B23"/>
      <c r="C23"/>
      <c r="D23"/>
      <c r="E23"/>
      <c r="F23"/>
      <c r="G23"/>
      <c r="H23"/>
    </row>
    <row r="24" spans="1:8" s="2" customFormat="1" ht="15" customHeight="1" x14ac:dyDescent="0.3">
      <c r="A24"/>
      <c r="B24"/>
      <c r="C24"/>
      <c r="D24"/>
      <c r="E24"/>
      <c r="F24"/>
      <c r="G24"/>
      <c r="H24"/>
    </row>
    <row r="25" spans="1:8" s="2" customFormat="1" ht="15" customHeight="1" x14ac:dyDescent="0.3">
      <c r="A25"/>
      <c r="B25"/>
      <c r="C25"/>
      <c r="D25"/>
      <c r="E25"/>
      <c r="F25"/>
      <c r="G25"/>
      <c r="H25"/>
    </row>
    <row r="26" spans="1:8" s="7" customFormat="1" ht="15" customHeight="1" x14ac:dyDescent="0.3">
      <c r="A26"/>
      <c r="B26"/>
      <c r="C26"/>
      <c r="D26"/>
      <c r="E26"/>
      <c r="F26"/>
      <c r="G26"/>
      <c r="H26"/>
    </row>
    <row r="27" spans="1:8" s="2" customFormat="1" ht="15" customHeight="1" x14ac:dyDescent="0.3">
      <c r="A27"/>
      <c r="B27" s="1"/>
      <c r="C27" s="1"/>
      <c r="D27"/>
      <c r="E27"/>
      <c r="F27" s="1"/>
      <c r="G27"/>
      <c r="H27" s="1"/>
    </row>
    <row r="28" spans="1:8" s="2" customFormat="1" ht="15" customHeight="1" x14ac:dyDescent="0.3">
      <c r="A28"/>
      <c r="B28"/>
      <c r="C28"/>
      <c r="D28" s="1"/>
      <c r="E28" s="1"/>
      <c r="F28"/>
      <c r="G28"/>
      <c r="H28"/>
    </row>
    <row r="29" spans="1:8" s="2" customFormat="1" ht="15" customHeight="1" x14ac:dyDescent="0.3">
      <c r="A29"/>
      <c r="B29"/>
      <c r="C29"/>
      <c r="D29"/>
      <c r="E29"/>
      <c r="F29"/>
      <c r="G29"/>
      <c r="H29"/>
    </row>
    <row r="30" spans="1:8" s="2" customFormat="1" ht="15" customHeight="1" x14ac:dyDescent="0.3">
      <c r="A30"/>
      <c r="B30"/>
      <c r="C30"/>
      <c r="D30"/>
      <c r="E30"/>
      <c r="F30"/>
      <c r="G30"/>
      <c r="H30"/>
    </row>
    <row r="31" spans="1:8" s="2" customFormat="1" ht="15" customHeight="1" x14ac:dyDescent="0.3">
      <c r="A31"/>
      <c r="B31"/>
      <c r="C31"/>
      <c r="D31"/>
      <c r="E31"/>
      <c r="F31"/>
      <c r="G31"/>
      <c r="H31"/>
    </row>
    <row r="32" spans="1:8" s="2" customFormat="1" ht="15" customHeight="1" x14ac:dyDescent="0.3">
      <c r="A32"/>
      <c r="B32"/>
      <c r="C32"/>
      <c r="D32"/>
      <c r="E32"/>
      <c r="F32"/>
      <c r="G32"/>
      <c r="H32"/>
    </row>
    <row r="33" spans="1:8" s="2" customFormat="1" ht="15" customHeight="1" x14ac:dyDescent="0.3">
      <c r="A33"/>
      <c r="B33"/>
      <c r="C33"/>
      <c r="D33" s="8"/>
      <c r="E33"/>
      <c r="F33"/>
      <c r="G33"/>
      <c r="H33"/>
    </row>
    <row r="34" spans="1:8" s="2" customFormat="1" ht="15" customHeight="1" x14ac:dyDescent="0.3">
      <c r="A34"/>
      <c r="B34"/>
      <c r="C34"/>
      <c r="D34"/>
      <c r="E34"/>
      <c r="F34"/>
      <c r="G34"/>
      <c r="H34"/>
    </row>
    <row r="35" spans="1:8" s="2" customFormat="1" ht="15" customHeight="1" x14ac:dyDescent="0.3">
      <c r="A35"/>
      <c r="B35"/>
      <c r="C35"/>
      <c r="D35"/>
      <c r="E35" s="40"/>
      <c r="F35"/>
      <c r="G35"/>
      <c r="H35"/>
    </row>
    <row r="36" spans="1:8" s="2" customFormat="1" ht="15" customHeight="1" x14ac:dyDescent="0.3">
      <c r="A36"/>
      <c r="B36"/>
      <c r="C36"/>
      <c r="D36"/>
      <c r="E36"/>
      <c r="F36"/>
      <c r="G36"/>
      <c r="H36"/>
    </row>
    <row r="37" spans="1:8" s="2" customFormat="1" ht="15" customHeight="1" x14ac:dyDescent="0.3">
      <c r="A37"/>
      <c r="B37"/>
      <c r="C37"/>
      <c r="D37"/>
      <c r="E37"/>
      <c r="F37"/>
      <c r="G37"/>
      <c r="H37"/>
    </row>
    <row r="38" spans="1:8" s="2" customFormat="1" ht="15" customHeight="1" x14ac:dyDescent="0.3">
      <c r="A38"/>
      <c r="B38"/>
      <c r="C38"/>
      <c r="D38"/>
      <c r="E38"/>
      <c r="F38"/>
      <c r="G38"/>
      <c r="H38"/>
    </row>
    <row r="39" spans="1:8" s="2" customFormat="1" ht="15" customHeight="1" x14ac:dyDescent="0.3">
      <c r="A39"/>
      <c r="B39"/>
      <c r="C39"/>
      <c r="D39"/>
      <c r="E39"/>
      <c r="F39"/>
      <c r="G39"/>
      <c r="H39"/>
    </row>
    <row r="40" spans="1:8" s="2" customFormat="1" ht="15" customHeight="1" x14ac:dyDescent="0.3">
      <c r="A40"/>
      <c r="B40"/>
      <c r="C40"/>
      <c r="D40"/>
      <c r="E40"/>
      <c r="F40"/>
      <c r="G40"/>
      <c r="H40"/>
    </row>
    <row r="41" spans="1:8" s="2" customFormat="1" ht="15" customHeight="1" x14ac:dyDescent="0.3">
      <c r="A41"/>
      <c r="B41"/>
      <c r="C41"/>
      <c r="D41"/>
      <c r="E41"/>
      <c r="F41"/>
      <c r="G41"/>
      <c r="H41"/>
    </row>
    <row r="42" spans="1:8" s="2" customFormat="1" ht="15" customHeight="1" x14ac:dyDescent="0.3">
      <c r="A42"/>
      <c r="B42"/>
      <c r="C42"/>
      <c r="D42"/>
      <c r="E42"/>
      <c r="F42"/>
      <c r="G42"/>
      <c r="H42"/>
    </row>
    <row r="43" spans="1:8" s="2" customFormat="1" ht="15" customHeight="1" x14ac:dyDescent="0.3">
      <c r="A43"/>
      <c r="B43" s="1"/>
      <c r="C43" s="1"/>
      <c r="D43"/>
      <c r="E43"/>
      <c r="F43" s="1"/>
      <c r="G43"/>
      <c r="H43"/>
    </row>
    <row r="44" spans="1:8" s="2" customFormat="1" ht="15" customHeight="1" x14ac:dyDescent="0.3">
      <c r="A44"/>
      <c r="B44" s="1"/>
      <c r="C44" s="1"/>
      <c r="D44" s="1"/>
      <c r="E44" s="1"/>
      <c r="F44" s="1"/>
      <c r="G44"/>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2:E2"/>
    <mergeCell ref="B3:E3"/>
    <mergeCell ref="B9:C9"/>
    <mergeCell ref="B15:E15"/>
    <mergeCell ref="D18:E18"/>
  </mergeCells>
  <conditionalFormatting sqref="E13:E14">
    <cfRule type="cellIs" dxfId="1" priority="1" operator="greaterThan">
      <formula>0</formula>
    </cfRule>
  </conditionalFormatting>
  <dataValidations count="1">
    <dataValidation type="list" allowBlank="1" showInputMessage="1" showErrorMessage="1" sqref="B2" xr:uid="{EF74CE6A-C35A-43EE-8F91-7E0225B980DF}">
      <formula1>$R$3:$R$4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4.4" x14ac:dyDescent="0.3"/>
  <cols>
    <col min="1" max="1" width="1" customWidth="1"/>
    <col min="2" max="13" width="15.6640625" customWidth="1"/>
    <col min="14" max="15" width="15.6640625" hidden="1" customWidth="1"/>
    <col min="16" max="16" width="6.3320312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6640625" hidden="1" customWidth="1"/>
    <col min="23" max="23" width="10.33203125" hidden="1" customWidth="1"/>
    <col min="24" max="24" width="9.6640625" hidden="1" customWidth="1"/>
    <col min="25" max="25" width="10.33203125" hidden="1" customWidth="1"/>
    <col min="26" max="26" width="6" hidden="1" customWidth="1"/>
    <col min="27" max="27" width="10.44140625" hidden="1" customWidth="1"/>
    <col min="28" max="28" width="9.6640625" hidden="1" customWidth="1"/>
    <col min="29" max="30" width="6.33203125" hidden="1" customWidth="1"/>
    <col min="31" max="16384" width="6" hidden="1"/>
  </cols>
  <sheetData>
    <row r="1" spans="1:53" s="2" customFormat="1" ht="11.25" customHeight="1" x14ac:dyDescent="0.3">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0" t="s">
        <v>192</v>
      </c>
      <c r="X1" s="101" t="s">
        <v>191</v>
      </c>
      <c r="Y1" s="102" t="s">
        <v>193</v>
      </c>
      <c r="Z1" s="46" t="s">
        <v>194</v>
      </c>
      <c r="AA1" s="46" t="s">
        <v>195</v>
      </c>
      <c r="AB1" s="46" t="s">
        <v>196</v>
      </c>
      <c r="AC1" s="46" t="s">
        <v>3</v>
      </c>
      <c r="AD1" s="103" t="s">
        <v>197</v>
      </c>
      <c r="AE1" s="104" t="s">
        <v>198</v>
      </c>
      <c r="AF1" s="101" t="s">
        <v>199</v>
      </c>
      <c r="AG1" s="105" t="s">
        <v>200</v>
      </c>
      <c r="AH1" s="103" t="s">
        <v>232</v>
      </c>
      <c r="AI1" s="102" t="s">
        <v>233</v>
      </c>
      <c r="AJ1" s="105"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399999999999999" thickBot="1" x14ac:dyDescent="0.45">
      <c r="A2" s="36"/>
      <c r="B2" s="189"/>
      <c r="C2" s="189"/>
      <c r="D2" s="189"/>
      <c r="E2" s="189"/>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3">
      <c r="A3" s="51"/>
      <c r="B3" s="190" t="s">
        <v>11</v>
      </c>
      <c r="C3" s="190"/>
      <c r="D3" s="190"/>
      <c r="E3" s="190"/>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3">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3">
      <c r="A5"/>
      <c r="B5"/>
      <c r="C5"/>
      <c r="D5" s="31" t="s">
        <v>9</v>
      </c>
      <c r="E5" s="109" t="str">
        <f>IF(S2 = "","",S2)</f>
        <v/>
      </c>
      <c r="F5" s="6"/>
      <c r="G5"/>
      <c r="H5"/>
    </row>
    <row r="6" spans="1:53" s="2" customFormat="1" ht="15" customHeight="1" x14ac:dyDescent="0.3">
      <c r="A6"/>
      <c r="B6"/>
      <c r="C6"/>
      <c r="D6" s="31" t="s">
        <v>7</v>
      </c>
      <c r="E6" s="32">
        <f>AA2</f>
        <v>44398</v>
      </c>
      <c r="F6" s="5"/>
      <c r="G6"/>
      <c r="H6"/>
    </row>
    <row r="7" spans="1:53" s="2" customFormat="1" ht="15" customHeight="1" x14ac:dyDescent="0.3">
      <c r="A7"/>
      <c r="B7"/>
      <c r="C7"/>
      <c r="D7" s="31" t="s">
        <v>5</v>
      </c>
      <c r="E7" s="32">
        <f>AB2</f>
        <v>44411</v>
      </c>
      <c r="F7" s="5"/>
      <c r="G7"/>
      <c r="H7"/>
    </row>
    <row r="8" spans="1:53" s="2" customFormat="1" ht="15" customHeight="1" x14ac:dyDescent="0.3">
      <c r="A8"/>
      <c r="B8"/>
      <c r="C8"/>
      <c r="D8" s="43"/>
      <c r="E8" s="44"/>
      <c r="F8" s="4"/>
      <c r="G8"/>
      <c r="H8"/>
    </row>
    <row r="9" spans="1:53" s="2" customFormat="1" ht="15" customHeight="1" x14ac:dyDescent="0.3">
      <c r="A9"/>
      <c r="B9" s="191"/>
      <c r="C9" s="191"/>
      <c r="D9" s="29" t="s">
        <v>3</v>
      </c>
      <c r="E9" s="33">
        <f>AC2</f>
        <v>5</v>
      </c>
      <c r="F9" s="4"/>
      <c r="G9"/>
      <c r="H9"/>
    </row>
    <row r="10" spans="1:53" s="2" customFormat="1" ht="15" customHeight="1" x14ac:dyDescent="0.3">
      <c r="A10"/>
      <c r="B10"/>
      <c r="C10"/>
      <c r="D10" s="31" t="s">
        <v>56</v>
      </c>
      <c r="E10" s="33">
        <f>AD2</f>
        <v>0</v>
      </c>
      <c r="F10" s="4"/>
      <c r="G10"/>
      <c r="H10"/>
    </row>
    <row r="11" spans="1:53" s="2" customFormat="1" ht="15" customHeight="1" x14ac:dyDescent="0.3">
      <c r="A11"/>
      <c r="B11"/>
      <c r="C11"/>
      <c r="D11" s="31" t="s">
        <v>57</v>
      </c>
      <c r="E11" s="33">
        <f>AE2</f>
        <v>0</v>
      </c>
      <c r="F11" s="4"/>
      <c r="G11"/>
      <c r="H11"/>
    </row>
    <row r="12" spans="1:53" s="2" customFormat="1" ht="15" customHeight="1" x14ac:dyDescent="0.3">
      <c r="A12"/>
      <c r="B12"/>
      <c r="C12"/>
      <c r="D12" s="31" t="s">
        <v>58</v>
      </c>
      <c r="E12" s="33">
        <f>AF2</f>
        <v>5</v>
      </c>
      <c r="F12" s="3"/>
      <c r="G12"/>
      <c r="H12"/>
    </row>
    <row r="13" spans="1:53" s="2" customFormat="1" ht="15" customHeight="1" x14ac:dyDescent="0.3">
      <c r="A13"/>
      <c r="B13"/>
      <c r="C13"/>
      <c r="D13" s="31" t="s">
        <v>59</v>
      </c>
      <c r="E13" s="34">
        <f>AG2</f>
        <v>0</v>
      </c>
      <c r="F13" s="3"/>
      <c r="G13"/>
      <c r="H13"/>
    </row>
    <row r="14" spans="1:53" s="2" customFormat="1" ht="15" customHeight="1" x14ac:dyDescent="0.3">
      <c r="A14"/>
      <c r="B14"/>
      <c r="C14"/>
      <c r="D14" s="28"/>
      <c r="E14" s="27"/>
      <c r="F14" s="3"/>
      <c r="G14"/>
      <c r="H14"/>
    </row>
    <row r="15" spans="1:53" s="2" customFormat="1" ht="15.6" x14ac:dyDescent="0.3">
      <c r="A15"/>
      <c r="B15" s="192"/>
      <c r="C15" s="192"/>
      <c r="D15" s="192"/>
      <c r="E15" s="192"/>
      <c r="F15" s="41"/>
      <c r="G15"/>
      <c r="H15"/>
    </row>
    <row r="16" spans="1:53" s="7" customFormat="1" ht="15" customHeight="1" x14ac:dyDescent="0.3">
      <c r="A16"/>
      <c r="B16" s="1"/>
      <c r="C16" s="1"/>
      <c r="D16" s="41"/>
      <c r="E16" s="41"/>
      <c r="F16" s="1"/>
      <c r="G16"/>
      <c r="H16" s="1"/>
    </row>
    <row r="17" spans="1:8" s="2" customFormat="1" x14ac:dyDescent="0.3">
      <c r="A17"/>
      <c r="B17"/>
      <c r="C17"/>
      <c r="D17" s="1"/>
      <c r="E17" s="1"/>
      <c r="F17"/>
      <c r="G17"/>
      <c r="H17"/>
    </row>
    <row r="18" spans="1:8" s="2" customFormat="1" ht="15" customHeight="1" x14ac:dyDescent="0.3">
      <c r="A18"/>
      <c r="B18"/>
      <c r="C18"/>
      <c r="D18" s="193" t="str">
        <f>BA2</f>
        <v/>
      </c>
      <c r="E18" s="193"/>
      <c r="F18"/>
      <c r="G18"/>
      <c r="H18"/>
    </row>
    <row r="19" spans="1:8" s="2" customFormat="1" ht="15" customHeight="1" x14ac:dyDescent="0.3">
      <c r="A19"/>
      <c r="B19"/>
      <c r="C19"/>
      <c r="D19"/>
      <c r="E19"/>
      <c r="F19"/>
      <c r="G19"/>
      <c r="H19"/>
    </row>
    <row r="20" spans="1:8" s="2" customFormat="1" ht="15" customHeight="1" x14ac:dyDescent="0.3">
      <c r="A20"/>
      <c r="B20" s="194"/>
      <c r="C20" s="194"/>
      <c r="D20"/>
      <c r="E20"/>
      <c r="F20"/>
      <c r="G20"/>
      <c r="H20"/>
    </row>
    <row r="21" spans="1:8" s="2" customFormat="1" ht="15" customHeight="1" x14ac:dyDescent="0.3">
      <c r="A21"/>
      <c r="B21"/>
      <c r="C21"/>
      <c r="D21" s="8"/>
      <c r="E21"/>
      <c r="F21"/>
      <c r="G21"/>
      <c r="H21"/>
    </row>
    <row r="22" spans="1:8" s="2" customFormat="1" ht="15" customHeight="1" x14ac:dyDescent="0.3">
      <c r="A22"/>
      <c r="B22"/>
      <c r="C22"/>
      <c r="D22"/>
      <c r="E22"/>
      <c r="F22"/>
      <c r="G22"/>
      <c r="H22"/>
    </row>
    <row r="23" spans="1:8" s="2" customFormat="1" ht="15" customHeight="1" x14ac:dyDescent="0.3">
      <c r="A23"/>
      <c r="B23"/>
      <c r="C23"/>
      <c r="D23"/>
      <c r="E23"/>
      <c r="F23"/>
      <c r="G23"/>
      <c r="H23"/>
    </row>
    <row r="24" spans="1:8" s="2" customFormat="1" ht="15" customHeight="1" x14ac:dyDescent="0.3">
      <c r="A24"/>
      <c r="B24"/>
      <c r="C24"/>
      <c r="D24"/>
      <c r="E24"/>
      <c r="F24"/>
      <c r="G24"/>
      <c r="H24"/>
    </row>
    <row r="25" spans="1:8" s="2" customFormat="1" ht="15" customHeight="1" x14ac:dyDescent="0.3">
      <c r="A25"/>
      <c r="B25"/>
      <c r="C25"/>
      <c r="D25"/>
      <c r="E25"/>
      <c r="F25"/>
      <c r="G25"/>
      <c r="H25"/>
    </row>
    <row r="26" spans="1:8" s="7" customFormat="1" ht="15" customHeight="1" x14ac:dyDescent="0.3">
      <c r="A26"/>
      <c r="B26"/>
      <c r="C26"/>
      <c r="D26"/>
      <c r="E26"/>
      <c r="F26"/>
      <c r="G26"/>
      <c r="H26"/>
    </row>
    <row r="27" spans="1:8" s="2" customFormat="1" ht="15" customHeight="1" x14ac:dyDescent="0.3">
      <c r="A27"/>
      <c r="B27" s="1"/>
      <c r="C27" s="1"/>
      <c r="D27"/>
      <c r="E27"/>
      <c r="F27" s="1"/>
      <c r="G27"/>
      <c r="H27" s="1"/>
    </row>
    <row r="28" spans="1:8" s="2" customFormat="1" ht="15" customHeight="1" x14ac:dyDescent="0.3">
      <c r="A28"/>
      <c r="B28"/>
      <c r="C28"/>
      <c r="D28" s="1"/>
      <c r="E28" s="1"/>
      <c r="F28"/>
      <c r="G28"/>
      <c r="H28"/>
    </row>
    <row r="29" spans="1:8" s="2" customFormat="1" ht="15" customHeight="1" x14ac:dyDescent="0.3">
      <c r="A29"/>
      <c r="B29"/>
      <c r="C29"/>
      <c r="D29"/>
      <c r="E29"/>
      <c r="F29"/>
      <c r="G29"/>
      <c r="H29"/>
    </row>
    <row r="30" spans="1:8" s="2" customFormat="1" ht="15" customHeight="1" x14ac:dyDescent="0.3">
      <c r="A30"/>
      <c r="B30"/>
      <c r="C30"/>
      <c r="D30"/>
      <c r="E30"/>
      <c r="F30"/>
      <c r="G30"/>
      <c r="H30"/>
    </row>
    <row r="31" spans="1:8" s="2" customFormat="1" ht="15" customHeight="1" x14ac:dyDescent="0.3">
      <c r="A31"/>
      <c r="B31"/>
      <c r="C31"/>
      <c r="D31"/>
      <c r="E31"/>
      <c r="F31"/>
      <c r="G31"/>
      <c r="H31"/>
    </row>
    <row r="32" spans="1:8" s="2" customFormat="1" ht="15" customHeight="1" x14ac:dyDescent="0.3">
      <c r="A32"/>
      <c r="B32"/>
      <c r="C32"/>
      <c r="D32"/>
      <c r="E32"/>
      <c r="F32"/>
      <c r="G32"/>
      <c r="H32"/>
    </row>
    <row r="33" spans="1:8" s="2" customFormat="1" ht="15" customHeight="1" x14ac:dyDescent="0.3">
      <c r="A33"/>
      <c r="B33"/>
      <c r="C33"/>
      <c r="D33" s="8"/>
      <c r="E33"/>
      <c r="F33"/>
      <c r="G33"/>
      <c r="H33"/>
    </row>
    <row r="34" spans="1:8" s="2" customFormat="1" ht="15" customHeight="1" x14ac:dyDescent="0.3">
      <c r="A34"/>
      <c r="B34"/>
      <c r="C34"/>
      <c r="D34"/>
      <c r="E34"/>
      <c r="F34"/>
      <c r="G34"/>
      <c r="H34"/>
    </row>
    <row r="35" spans="1:8" s="2" customFormat="1" ht="15" customHeight="1" x14ac:dyDescent="0.3">
      <c r="A35"/>
      <c r="B35"/>
      <c r="C35"/>
      <c r="D35"/>
      <c r="E35" s="40"/>
      <c r="F35"/>
      <c r="G35"/>
      <c r="H35"/>
    </row>
    <row r="36" spans="1:8" s="2" customFormat="1" ht="15" customHeight="1" x14ac:dyDescent="0.3">
      <c r="A36"/>
      <c r="B36"/>
      <c r="C36"/>
      <c r="D36"/>
      <c r="E36"/>
      <c r="F36"/>
      <c r="G36"/>
      <c r="H36"/>
    </row>
    <row r="37" spans="1:8" s="2" customFormat="1" ht="15" customHeight="1" x14ac:dyDescent="0.3">
      <c r="A37"/>
      <c r="B37"/>
      <c r="C37"/>
      <c r="D37"/>
      <c r="E37"/>
      <c r="F37"/>
      <c r="G37"/>
      <c r="H37"/>
    </row>
    <row r="38" spans="1:8" s="2" customFormat="1" ht="15" customHeight="1" x14ac:dyDescent="0.3">
      <c r="A38"/>
      <c r="B38"/>
      <c r="C38"/>
      <c r="D38"/>
      <c r="E38"/>
      <c r="F38"/>
      <c r="G38"/>
      <c r="H38"/>
    </row>
    <row r="39" spans="1:8" s="2" customFormat="1" ht="15" customHeight="1" x14ac:dyDescent="0.3">
      <c r="A39"/>
      <c r="B39"/>
      <c r="C39"/>
      <c r="D39"/>
      <c r="E39"/>
      <c r="F39"/>
      <c r="G39"/>
      <c r="H39"/>
    </row>
    <row r="40" spans="1:8" s="2" customFormat="1" ht="15" customHeight="1" x14ac:dyDescent="0.3">
      <c r="A40"/>
      <c r="B40"/>
      <c r="C40"/>
      <c r="D40"/>
      <c r="E40"/>
      <c r="F40"/>
      <c r="G40"/>
      <c r="H40"/>
    </row>
    <row r="41" spans="1:8" s="2" customFormat="1" ht="15" customHeight="1" x14ac:dyDescent="0.3">
      <c r="A41"/>
      <c r="B41"/>
      <c r="C41"/>
      <c r="D41"/>
      <c r="E41"/>
      <c r="F41"/>
      <c r="G41"/>
      <c r="H41"/>
    </row>
    <row r="42" spans="1:8" s="2" customFormat="1" ht="15" customHeight="1" x14ac:dyDescent="0.3">
      <c r="A42"/>
      <c r="B42"/>
      <c r="C42"/>
      <c r="D42"/>
      <c r="E42"/>
      <c r="F42"/>
      <c r="G42"/>
      <c r="H42"/>
    </row>
    <row r="43" spans="1:8" s="2" customFormat="1" ht="15" customHeight="1" x14ac:dyDescent="0.3">
      <c r="A43"/>
      <c r="B43" s="1"/>
      <c r="C43" s="1"/>
      <c r="D43"/>
      <c r="E43"/>
      <c r="F43" s="1"/>
      <c r="G43"/>
      <c r="H43"/>
    </row>
    <row r="44" spans="1:8" s="2" customFormat="1" ht="15" customHeight="1" x14ac:dyDescent="0.3">
      <c r="A44"/>
      <c r="B44" s="1"/>
      <c r="C44" s="1"/>
      <c r="D44" s="1"/>
      <c r="E44" s="1"/>
      <c r="F44" s="1"/>
      <c r="G44"/>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CB1" workbookViewId="0">
      <selection activeCell="DC1" sqref="DC1"/>
    </sheetView>
  </sheetViews>
  <sheetFormatPr defaultColWidth="9.33203125" defaultRowHeight="14.4" x14ac:dyDescent="0.3"/>
  <cols>
    <col min="12" max="13" width="14.6640625" customWidth="1"/>
    <col min="14" max="14" width="12.6640625" customWidth="1"/>
    <col min="20" max="20" width="12.6640625" customWidth="1"/>
    <col min="28" max="28" width="19.6640625" customWidth="1"/>
    <col min="100" max="100" width="10.44140625" bestFit="1" customWidth="1"/>
  </cols>
  <sheetData>
    <row r="1" spans="1:334" x14ac:dyDescent="0.3">
      <c r="A1" s="52" t="s">
        <v>128</v>
      </c>
      <c r="B1" s="52"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238</v>
      </c>
      <c r="V1" t="s">
        <v>239</v>
      </c>
      <c r="W1" t="s">
        <v>240</v>
      </c>
      <c r="X1" t="s">
        <v>241</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2" t="s">
        <v>81</v>
      </c>
      <c r="AP1" s="52" t="s">
        <v>82</v>
      </c>
      <c r="AQ1" s="52" t="s">
        <v>83</v>
      </c>
      <c r="AR1" s="52" t="s">
        <v>84</v>
      </c>
      <c r="AS1" s="52" t="s">
        <v>90</v>
      </c>
      <c r="AT1" s="52" t="s">
        <v>146</v>
      </c>
      <c r="AU1" s="52" t="s">
        <v>85</v>
      </c>
      <c r="AV1" s="52" t="s">
        <v>86</v>
      </c>
      <c r="AW1" s="52" t="s">
        <v>87</v>
      </c>
      <c r="AX1" s="52" t="s">
        <v>98</v>
      </c>
      <c r="AY1" s="52" t="s">
        <v>88</v>
      </c>
      <c r="AZ1" s="52" t="s">
        <v>89</v>
      </c>
      <c r="BA1" s="52" t="s">
        <v>116</v>
      </c>
      <c r="BB1" s="52" t="s">
        <v>147</v>
      </c>
      <c r="BC1" s="52" t="s">
        <v>91</v>
      </c>
      <c r="BD1" s="52" t="s">
        <v>92</v>
      </c>
      <c r="BE1" s="52" t="s">
        <v>93</v>
      </c>
      <c r="BF1" s="52" t="s">
        <v>121</v>
      </c>
      <c r="BG1" s="52" t="s">
        <v>122</v>
      </c>
      <c r="BH1" s="52" t="s">
        <v>94</v>
      </c>
      <c r="BI1" s="52" t="s">
        <v>114</v>
      </c>
      <c r="BJ1" s="52" t="s">
        <v>95</v>
      </c>
      <c r="BK1" s="52" t="s">
        <v>96</v>
      </c>
      <c r="BL1" s="52" t="s">
        <v>97</v>
      </c>
      <c r="BM1" s="52" t="s">
        <v>132</v>
      </c>
      <c r="BN1" s="52" t="s">
        <v>135</v>
      </c>
      <c r="BO1" s="52" t="s">
        <v>136</v>
      </c>
      <c r="BP1" s="52" t="s">
        <v>137</v>
      </c>
      <c r="BQ1" s="52" t="s">
        <v>138</v>
      </c>
      <c r="BR1" s="52" t="s">
        <v>139</v>
      </c>
      <c r="BS1" s="52" t="s">
        <v>140</v>
      </c>
      <c r="BT1" s="52"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242</v>
      </c>
      <c r="CY1" t="s">
        <v>243</v>
      </c>
      <c r="CZ1" t="s">
        <v>229</v>
      </c>
      <c r="DA1" t="s">
        <v>237</v>
      </c>
      <c r="DB1" t="s">
        <v>244</v>
      </c>
      <c r="DC1" t="s">
        <v>246</v>
      </c>
      <c r="LO1" t="s">
        <v>46</v>
      </c>
      <c r="LP1" t="s">
        <v>44</v>
      </c>
      <c r="LQ1" t="s">
        <v>39</v>
      </c>
      <c r="LR1" t="s">
        <v>38</v>
      </c>
      <c r="LS1" t="s">
        <v>37</v>
      </c>
      <c r="LT1" t="s">
        <v>60</v>
      </c>
      <c r="LU1" t="s">
        <v>61</v>
      </c>
      <c r="LV1" t="s">
        <v>72</v>
      </c>
    </row>
    <row r="2" spans="1:334" x14ac:dyDescent="0.3">
      <c r="A2" t="s">
        <v>113</v>
      </c>
      <c r="B2">
        <v>1</v>
      </c>
      <c r="C2" t="s">
        <v>28</v>
      </c>
      <c r="D2" t="s">
        <v>63</v>
      </c>
      <c r="E2" t="b">
        <v>1</v>
      </c>
      <c r="F2" s="2" t="s">
        <v>8</v>
      </c>
      <c r="G2" s="53">
        <v>20000</v>
      </c>
      <c r="H2" s="53">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0</v>
      </c>
      <c r="AJ2" t="b">
        <v>0</v>
      </c>
      <c r="AK2" t="b">
        <v>0</v>
      </c>
      <c r="AL2" t="s">
        <v>68</v>
      </c>
      <c r="AM2" t="s">
        <v>69</v>
      </c>
      <c r="AO2" t="s">
        <v>77</v>
      </c>
      <c r="AP2" t="s">
        <v>76</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56</v>
      </c>
      <c r="BU2" s="74">
        <v>35</v>
      </c>
      <c r="BV2">
        <v>6</v>
      </c>
      <c r="BW2">
        <v>2</v>
      </c>
      <c r="BX2">
        <v>2</v>
      </c>
      <c r="BY2">
        <v>3</v>
      </c>
      <c r="BZ2">
        <v>2</v>
      </c>
      <c r="CA2">
        <v>3</v>
      </c>
      <c r="CB2">
        <v>3</v>
      </c>
      <c r="CC2">
        <v>6</v>
      </c>
      <c r="CD2">
        <v>8</v>
      </c>
      <c r="CE2">
        <v>10</v>
      </c>
      <c r="CF2">
        <v>12</v>
      </c>
      <c r="CG2">
        <v>15</v>
      </c>
      <c r="CH2" t="b">
        <v>1</v>
      </c>
      <c r="CI2" s="2" t="b">
        <v>1</v>
      </c>
      <c r="CJ2" s="75">
        <v>43647</v>
      </c>
      <c r="CK2" s="75">
        <v>43679</v>
      </c>
      <c r="CL2" t="s">
        <v>125</v>
      </c>
      <c r="CM2" t="b">
        <v>1</v>
      </c>
      <c r="CN2" t="b">
        <v>1</v>
      </c>
      <c r="CO2" t="b">
        <v>1</v>
      </c>
      <c r="CP2" t="b">
        <v>1</v>
      </c>
      <c r="CQ2" t="b">
        <v>1</v>
      </c>
      <c r="CR2">
        <v>2000</v>
      </c>
      <c r="CS2">
        <v>2050</v>
      </c>
      <c r="CT2" s="22">
        <v>36526</v>
      </c>
      <c r="CU2" s="22">
        <v>54789</v>
      </c>
      <c r="CV2" s="22">
        <v>46004</v>
      </c>
      <c r="CW2" t="b">
        <v>0</v>
      </c>
      <c r="CX2" t="b">
        <v>0</v>
      </c>
      <c r="CY2" t="b">
        <v>0</v>
      </c>
      <c r="CZ2" t="b">
        <v>1</v>
      </c>
      <c r="DA2" t="b">
        <v>1</v>
      </c>
      <c r="DB2" t="s">
        <v>251</v>
      </c>
      <c r="DC2" t="b">
        <v>0</v>
      </c>
      <c r="LO2" s="2">
        <v>1</v>
      </c>
      <c r="LP2" t="s">
        <v>249</v>
      </c>
      <c r="LQ2" s="12" t="s">
        <v>304</v>
      </c>
      <c r="LR2" s="12" t="s">
        <v>305</v>
      </c>
      <c r="LS2" s="12" t="s">
        <v>250</v>
      </c>
      <c r="LT2" t="s">
        <v>252</v>
      </c>
      <c r="LV2" s="75">
        <v>46004</v>
      </c>
    </row>
    <row r="3" spans="1:334" x14ac:dyDescent="0.3">
      <c r="AO3" t="s">
        <v>76</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334" x14ac:dyDescent="0.3">
      <c r="AO4" t="s">
        <v>78</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334" x14ac:dyDescent="0.3">
      <c r="AO5" t="s">
        <v>75</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334" x14ac:dyDescent="0.3">
      <c r="AO6" t="s">
        <v>79</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334" x14ac:dyDescent="0.3">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4.4" x14ac:dyDescent="0.3"/>
  <cols>
    <col min="1" max="1" width="12.77734375" bestFit="1" customWidth="1"/>
    <col min="2" max="2" width="11.21875" bestFit="1" customWidth="1"/>
    <col min="6" max="8" width="9.33203125"/>
    <col min="10" max="10" width="13.33203125" bestFit="1" customWidth="1"/>
    <col min="11" max="11" width="12.77734375" bestFit="1" customWidth="1"/>
    <col min="12" max="12" width="11.21875" bestFit="1" customWidth="1"/>
    <col min="13" max="13" width="8.6640625" bestFit="1" customWidth="1"/>
    <col min="14" max="14" width="8.33203125" bestFit="1" customWidth="1"/>
    <col min="15" max="17" width="8.33203125" customWidth="1"/>
    <col min="18" max="18" width="11.33203125" bestFit="1" customWidth="1"/>
    <col min="21" max="21" width="13.88671875" bestFit="1" customWidth="1"/>
    <col min="22" max="22" width="6.88671875" bestFit="1" customWidth="1"/>
    <col min="23" max="23" width="11" bestFit="1" customWidth="1"/>
    <col min="24" max="26" width="11" customWidth="1"/>
    <col min="27" max="27" width="11" bestFit="1" customWidth="1"/>
    <col min="31" max="31" width="11.6640625" bestFit="1" customWidth="1"/>
    <col min="32" max="32" width="17.33203125" bestFit="1" customWidth="1"/>
    <col min="33" max="33" width="31.33203125" bestFit="1" customWidth="1"/>
    <col min="34" max="35" width="31.33203125" customWidth="1"/>
    <col min="36" max="36" width="31.33203125" bestFit="1" customWidth="1"/>
    <col min="37" max="37" width="33.33203125" bestFit="1" customWidth="1"/>
    <col min="38" max="39" width="36.33203125" bestFit="1" customWidth="1"/>
    <col min="40" max="40" width="14.33203125" bestFit="1" customWidth="1"/>
    <col min="41" max="41" width="22.33203125" bestFit="1" customWidth="1"/>
    <col min="42" max="42" width="12.77734375" bestFit="1" customWidth="1"/>
    <col min="43" max="43" width="11.21875" bestFit="1" customWidth="1"/>
    <col min="47" max="49" width="9.33203125"/>
    <col min="53" max="53" width="12.77734375" bestFit="1" customWidth="1"/>
    <col min="54" max="54" width="6.88671875" bestFit="1" customWidth="1"/>
    <col min="57" max="59" width="9.33203125"/>
    <col min="63" max="63" width="11.6640625" bestFit="1" customWidth="1"/>
    <col min="64" max="64" width="6.88671875" bestFit="1" customWidth="1"/>
    <col min="66" max="70" width="9.33203125"/>
    <col min="72" max="72" width="11.6640625" bestFit="1" customWidth="1"/>
    <col min="73" max="73" width="6.88671875" bestFit="1" customWidth="1"/>
    <col min="76" max="76" width="12" bestFit="1" customWidth="1"/>
    <col min="77" max="77" width="17.6640625" bestFit="1" customWidth="1"/>
    <col min="81" max="81" width="12" bestFit="1" customWidth="1"/>
    <col min="82" max="82" width="17.6640625" bestFit="1" customWidth="1"/>
  </cols>
  <sheetData>
    <row r="1" spans="1:73" x14ac:dyDescent="0.3">
      <c r="A1" s="25" t="s">
        <v>206</v>
      </c>
      <c r="B1" t="s">
        <v>236</v>
      </c>
      <c r="K1" s="25" t="s">
        <v>206</v>
      </c>
      <c r="L1" t="s">
        <v>236</v>
      </c>
      <c r="U1" s="25" t="s">
        <v>206</v>
      </c>
      <c r="V1" t="s">
        <v>318</v>
      </c>
      <c r="AE1" s="25" t="s">
        <v>206</v>
      </c>
      <c r="AF1" t="s">
        <v>318</v>
      </c>
      <c r="AP1" s="25" t="s">
        <v>206</v>
      </c>
      <c r="AQ1" t="s">
        <v>318</v>
      </c>
      <c r="BA1" s="25" t="s">
        <v>206</v>
      </c>
      <c r="BB1" t="s">
        <v>318</v>
      </c>
      <c r="BK1" s="25" t="s">
        <v>206</v>
      </c>
      <c r="BL1" t="s">
        <v>318</v>
      </c>
      <c r="BT1" s="25" t="s">
        <v>206</v>
      </c>
      <c r="BU1" t="s">
        <v>318</v>
      </c>
    </row>
    <row r="2" spans="1:73" x14ac:dyDescent="0.3">
      <c r="A2" s="25" t="s">
        <v>162</v>
      </c>
      <c r="B2" t="s">
        <v>318</v>
      </c>
      <c r="K2" s="25" t="s">
        <v>162</v>
      </c>
      <c r="L2" t="s">
        <v>318</v>
      </c>
      <c r="U2" s="25" t="s">
        <v>162</v>
      </c>
      <c r="V2" t="s">
        <v>318</v>
      </c>
      <c r="AE2" s="25" t="s">
        <v>225</v>
      </c>
      <c r="AF2" t="s">
        <v>210</v>
      </c>
      <c r="AP2" s="25" t="s">
        <v>162</v>
      </c>
      <c r="AQ2" t="s">
        <v>318</v>
      </c>
      <c r="BA2" s="25" t="s">
        <v>162</v>
      </c>
      <c r="BB2" t="s">
        <v>318</v>
      </c>
      <c r="BK2" s="25" t="s">
        <v>162</v>
      </c>
      <c r="BL2" t="s">
        <v>318</v>
      </c>
      <c r="BT2" s="25" t="s">
        <v>162</v>
      </c>
      <c r="BU2" t="s">
        <v>318</v>
      </c>
    </row>
    <row r="4" spans="1:73" x14ac:dyDescent="0.3">
      <c r="A4" s="25" t="s">
        <v>207</v>
      </c>
      <c r="B4" t="s">
        <v>208</v>
      </c>
      <c r="K4" s="25" t="s">
        <v>207</v>
      </c>
      <c r="L4" t="s">
        <v>208</v>
      </c>
      <c r="U4" s="25" t="s">
        <v>209</v>
      </c>
      <c r="AP4" s="25" t="s">
        <v>207</v>
      </c>
      <c r="AQ4" t="s">
        <v>208</v>
      </c>
      <c r="BA4" s="25" t="s">
        <v>207</v>
      </c>
    </row>
    <row r="5" spans="1:73" x14ac:dyDescent="0.3">
      <c r="A5" s="26" t="s">
        <v>58</v>
      </c>
      <c r="B5">
        <v>8</v>
      </c>
      <c r="K5" s="26" t="s">
        <v>159</v>
      </c>
      <c r="L5">
        <v>8</v>
      </c>
      <c r="U5" s="26" t="s">
        <v>183</v>
      </c>
      <c r="V5" s="177"/>
      <c r="AP5" s="106" t="s">
        <v>320</v>
      </c>
      <c r="AQ5">
        <v>8</v>
      </c>
      <c r="BA5" s="26" t="s">
        <v>319</v>
      </c>
    </row>
    <row r="6" spans="1:73" x14ac:dyDescent="0.3">
      <c r="U6" s="26" t="s">
        <v>211</v>
      </c>
      <c r="V6" s="177"/>
    </row>
    <row r="7" spans="1:73" x14ac:dyDescent="0.3">
      <c r="U7" s="26" t="s">
        <v>184</v>
      </c>
      <c r="V7" s="177"/>
    </row>
  </sheetData>
  <pageMargins left="0.7" right="0.7" top="0.75" bottom="0.75" header="0.3" footer="0.3"/>
  <drawing r:id="rId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6B971-C80F-43A5-9646-F92D82C40EEB}">
  <dimension ref="A1:DP21"/>
  <sheetViews>
    <sheetView showGridLines="0" showRowColHeaders="0" tabSelected="1" topLeftCell="H6" zoomScaleNormal="100" workbookViewId="0">
      <selection activeCell="K10" sqref="K10"/>
    </sheetView>
  </sheetViews>
  <sheetFormatPr defaultColWidth="0" defaultRowHeight="14.4" x14ac:dyDescent="0.3"/>
  <cols>
    <col min="1" max="7" width="0" style="111" hidden="1" customWidth="1"/>
    <col min="8" max="9" width="2.6640625" style="111" customWidth="1"/>
    <col min="10" max="10" width="4.5546875" style="180" bestFit="1" customWidth="1"/>
    <col min="11" max="11" width="45.6640625" style="113" customWidth="1"/>
    <col min="12" max="12" width="10.6640625" style="115" customWidth="1"/>
    <col min="13" max="13" width="10.6640625" style="111" hidden="1" customWidth="1"/>
    <col min="14" max="14" width="15.6640625" style="113" customWidth="1"/>
    <col min="15" max="18" width="15.6640625" style="114" hidden="1" customWidth="1"/>
    <col min="19" max="20" width="15.6640625" style="114" customWidth="1"/>
    <col min="21" max="21" width="10.6640625" style="114" customWidth="1"/>
    <col min="22" max="23" width="15.6640625" style="113" hidden="1" customWidth="1"/>
    <col min="24" max="24" width="15.6640625" style="114" hidden="1" customWidth="1"/>
    <col min="25" max="25" width="5.6640625" style="111" customWidth="1"/>
    <col min="26" max="26" width="10.6640625" style="112" customWidth="1"/>
    <col min="27" max="32" width="15.6640625" style="114" hidden="1" customWidth="1"/>
    <col min="33" max="57" width="15.6640625" style="111" hidden="1" customWidth="1"/>
    <col min="58" max="60" width="15.6640625" style="119" hidden="1" customWidth="1"/>
    <col min="61" max="61" width="2.6640625" style="111" customWidth="1"/>
    <col min="62" max="110" width="3.77734375" customWidth="1"/>
    <col min="111" max="111" width="2.77734375" customWidth="1"/>
    <col min="112" max="16384" width="10.77734375" hidden="1"/>
  </cols>
  <sheetData>
    <row r="1" spans="1:120" hidden="1" x14ac:dyDescent="0.3">
      <c r="A1" s="111" t="s">
        <v>225</v>
      </c>
      <c r="B1" s="111" t="s">
        <v>217</v>
      </c>
      <c r="C1" s="111" t="s">
        <v>218</v>
      </c>
      <c r="D1" s="111" t="s">
        <v>219</v>
      </c>
      <c r="E1" s="111" t="s">
        <v>220</v>
      </c>
      <c r="F1" s="111" t="s">
        <v>221</v>
      </c>
      <c r="G1" s="111" t="s">
        <v>155</v>
      </c>
      <c r="H1" s="111" t="s">
        <v>156</v>
      </c>
      <c r="I1" s="111" t="s">
        <v>222</v>
      </c>
      <c r="J1" s="180" t="s">
        <v>27</v>
      </c>
      <c r="K1" s="113" t="s">
        <v>26</v>
      </c>
      <c r="L1" s="115" t="s">
        <v>133</v>
      </c>
      <c r="M1" s="111" t="s">
        <v>134</v>
      </c>
      <c r="N1" s="113" t="s">
        <v>216</v>
      </c>
      <c r="O1" s="114" t="s">
        <v>223</v>
      </c>
      <c r="P1" s="114" t="s">
        <v>25</v>
      </c>
      <c r="Q1" s="114" t="s">
        <v>24</v>
      </c>
      <c r="R1" s="114" t="s">
        <v>23</v>
      </c>
      <c r="S1" s="114" t="s">
        <v>22</v>
      </c>
      <c r="T1" s="114" t="s">
        <v>20</v>
      </c>
      <c r="U1" s="114" t="s">
        <v>18</v>
      </c>
      <c r="V1" s="113" t="s">
        <v>230</v>
      </c>
      <c r="W1" s="113" t="s">
        <v>231</v>
      </c>
      <c r="X1" s="114" t="s">
        <v>214</v>
      </c>
      <c r="Y1" s="111" t="s">
        <v>224</v>
      </c>
      <c r="Z1" s="112" t="s">
        <v>17</v>
      </c>
      <c r="AA1" s="114" t="s">
        <v>21</v>
      </c>
      <c r="AB1" s="114" t="s">
        <v>19</v>
      </c>
      <c r="AC1" s="114" t="s">
        <v>16</v>
      </c>
      <c r="AD1" s="114" t="s">
        <v>15</v>
      </c>
      <c r="AE1" s="114" t="s">
        <v>14</v>
      </c>
      <c r="AF1" s="114" t="s">
        <v>13</v>
      </c>
      <c r="AG1" s="111" t="s">
        <v>12</v>
      </c>
      <c r="AH1" s="111" t="s">
        <v>283</v>
      </c>
      <c r="AI1" s="111" t="s">
        <v>285</v>
      </c>
      <c r="AJ1" s="111" t="s">
        <v>287</v>
      </c>
      <c r="AK1" s="111" t="s">
        <v>289</v>
      </c>
      <c r="AL1" s="111" t="s">
        <v>163</v>
      </c>
      <c r="AM1" s="111" t="s">
        <v>164</v>
      </c>
      <c r="AN1" s="111" t="s">
        <v>165</v>
      </c>
      <c r="AO1" s="111" t="s">
        <v>166</v>
      </c>
      <c r="AP1" s="111" t="s">
        <v>167</v>
      </c>
      <c r="AQ1" s="111" t="s">
        <v>168</v>
      </c>
      <c r="AR1" s="111" t="s">
        <v>169</v>
      </c>
      <c r="AS1" s="111" t="s">
        <v>170</v>
      </c>
      <c r="AT1" s="111" t="s">
        <v>171</v>
      </c>
      <c r="AU1" s="111" t="s">
        <v>172</v>
      </c>
      <c r="AV1" s="111" t="s">
        <v>173</v>
      </c>
      <c r="AW1" s="111" t="s">
        <v>174</v>
      </c>
      <c r="AX1" s="111" t="s">
        <v>175</v>
      </c>
      <c r="AY1" s="111" t="s">
        <v>176</v>
      </c>
      <c r="AZ1" s="111" t="s">
        <v>177</v>
      </c>
      <c r="BA1" s="111" t="s">
        <v>178</v>
      </c>
      <c r="BB1" s="111" t="s">
        <v>179</v>
      </c>
      <c r="BC1" s="111" t="s">
        <v>180</v>
      </c>
      <c r="BD1" s="111" t="s">
        <v>181</v>
      </c>
      <c r="BE1" s="111" t="s">
        <v>182</v>
      </c>
      <c r="BF1" s="119" t="s">
        <v>291</v>
      </c>
      <c r="BG1" s="119" t="s">
        <v>292</v>
      </c>
      <c r="BH1" s="119" t="s">
        <v>293</v>
      </c>
      <c r="BI1" s="111" t="s">
        <v>157</v>
      </c>
      <c r="BJ1" t="s">
        <v>294</v>
      </c>
      <c r="DF1" t="s">
        <v>295</v>
      </c>
      <c r="DG1" t="s">
        <v>296</v>
      </c>
    </row>
    <row r="2" spans="1:120" hidden="1" x14ac:dyDescent="0.3">
      <c r="A2" s="111" t="s">
        <v>268</v>
      </c>
      <c r="B2" s="111" t="s">
        <v>268</v>
      </c>
      <c r="C2" s="111" t="s">
        <v>268</v>
      </c>
      <c r="D2" s="111" t="s">
        <v>268</v>
      </c>
      <c r="E2" s="111" t="s">
        <v>268</v>
      </c>
      <c r="F2" s="111" t="s">
        <v>268</v>
      </c>
      <c r="G2" s="111" t="s">
        <v>268</v>
      </c>
      <c r="H2" s="111" t="s">
        <v>297</v>
      </c>
      <c r="I2" s="111" t="s">
        <v>268</v>
      </c>
      <c r="J2" s="180" t="s">
        <v>268</v>
      </c>
      <c r="K2" s="113" t="s">
        <v>268</v>
      </c>
      <c r="L2" s="115" t="s">
        <v>268</v>
      </c>
      <c r="M2" s="111" t="s">
        <v>268</v>
      </c>
      <c r="N2" s="113" t="s">
        <v>268</v>
      </c>
      <c r="O2" s="114" t="s">
        <v>268</v>
      </c>
      <c r="P2" s="114" t="s">
        <v>268</v>
      </c>
      <c r="Q2" s="114" t="s">
        <v>268</v>
      </c>
      <c r="R2" s="114" t="s">
        <v>268</v>
      </c>
      <c r="S2" s="114" t="s">
        <v>268</v>
      </c>
      <c r="T2" s="114" t="s">
        <v>268</v>
      </c>
      <c r="U2" s="114" t="s">
        <v>268</v>
      </c>
      <c r="V2" s="113" t="s">
        <v>268</v>
      </c>
      <c r="W2" s="113" t="s">
        <v>268</v>
      </c>
      <c r="X2" s="114" t="s">
        <v>268</v>
      </c>
      <c r="Y2" s="111" t="s">
        <v>268</v>
      </c>
      <c r="Z2" s="112" t="s">
        <v>268</v>
      </c>
      <c r="AA2" s="114" t="s">
        <v>268</v>
      </c>
      <c r="AB2" s="114" t="s">
        <v>268</v>
      </c>
      <c r="AC2" s="114" t="s">
        <v>268</v>
      </c>
      <c r="AD2" s="114" t="s">
        <v>268</v>
      </c>
      <c r="AE2" s="114" t="s">
        <v>268</v>
      </c>
      <c r="AF2" s="114" t="s">
        <v>268</v>
      </c>
      <c r="AG2" s="111" t="s">
        <v>268</v>
      </c>
      <c r="AH2" s="111" t="s">
        <v>268</v>
      </c>
      <c r="AI2" s="111" t="s">
        <v>268</v>
      </c>
      <c r="AJ2" s="111" t="s">
        <v>268</v>
      </c>
      <c r="AK2" s="111" t="s">
        <v>268</v>
      </c>
      <c r="AL2" s="111" t="s">
        <v>163</v>
      </c>
      <c r="AM2" s="111" t="s">
        <v>164</v>
      </c>
      <c r="AN2" s="111" t="s">
        <v>165</v>
      </c>
      <c r="AO2" s="111" t="s">
        <v>166</v>
      </c>
      <c r="AP2" s="111" t="s">
        <v>167</v>
      </c>
      <c r="AQ2" s="111" t="s">
        <v>168</v>
      </c>
      <c r="AR2" s="111" t="s">
        <v>169</v>
      </c>
      <c r="AS2" s="111" t="s">
        <v>170</v>
      </c>
      <c r="AT2" s="111" t="s">
        <v>171</v>
      </c>
      <c r="AU2" s="111" t="s">
        <v>172</v>
      </c>
      <c r="AV2" s="111" t="s">
        <v>173</v>
      </c>
      <c r="AW2" s="111" t="s">
        <v>174</v>
      </c>
      <c r="AX2" s="111" t="s">
        <v>175</v>
      </c>
      <c r="AY2" s="111" t="s">
        <v>176</v>
      </c>
      <c r="AZ2" s="111" t="s">
        <v>177</v>
      </c>
      <c r="BA2" s="111" t="s">
        <v>178</v>
      </c>
      <c r="BB2" s="111" t="s">
        <v>179</v>
      </c>
      <c r="BC2" s="111" t="s">
        <v>180</v>
      </c>
      <c r="BD2" s="111" t="s">
        <v>181</v>
      </c>
      <c r="BE2" s="111" t="s">
        <v>182</v>
      </c>
      <c r="BF2" s="119" t="s">
        <v>268</v>
      </c>
      <c r="BG2" s="119" t="s">
        <v>268</v>
      </c>
      <c r="BH2" s="119" t="s">
        <v>268</v>
      </c>
      <c r="BI2" s="111" t="s">
        <v>268</v>
      </c>
    </row>
    <row r="3" spans="1:120" hidden="1" x14ac:dyDescent="0.3"/>
    <row r="4" spans="1:120" hidden="1" x14ac:dyDescent="0.3"/>
    <row r="5" spans="1:120" hidden="1" x14ac:dyDescent="0.3"/>
    <row r="6" spans="1:120" ht="30" customHeight="1" x14ac:dyDescent="0.3">
      <c r="H6" s="143"/>
      <c r="I6" s="143"/>
      <c r="J6" s="181" t="s">
        <v>186</v>
      </c>
      <c r="K6" s="144"/>
      <c r="L6" s="144"/>
      <c r="M6" s="144"/>
      <c r="N6" s="144"/>
      <c r="O6" s="144"/>
      <c r="P6" s="144"/>
      <c r="Q6" s="144"/>
      <c r="R6" s="144"/>
      <c r="S6" s="144"/>
      <c r="T6" s="144"/>
      <c r="U6" s="144"/>
      <c r="V6" s="144"/>
      <c r="W6" s="144"/>
      <c r="X6" s="144"/>
      <c r="Y6" s="144"/>
      <c r="Z6" s="145"/>
      <c r="AA6" s="144"/>
      <c r="AB6" s="144"/>
      <c r="AC6" s="144"/>
      <c r="AD6" s="144"/>
      <c r="AE6" s="144"/>
      <c r="AF6" s="144"/>
      <c r="AG6" s="144"/>
      <c r="AH6" s="144"/>
      <c r="AI6" s="144"/>
      <c r="AJ6" s="144"/>
      <c r="AK6" s="144"/>
      <c r="AL6" s="144"/>
      <c r="AM6" s="144"/>
      <c r="AN6" s="144"/>
      <c r="AO6" s="144"/>
      <c r="AP6" s="144"/>
      <c r="AQ6" s="144"/>
      <c r="AR6" s="144"/>
      <c r="AS6" s="144"/>
      <c r="AT6" s="144"/>
      <c r="AU6" s="144"/>
      <c r="AV6" s="144"/>
      <c r="AW6" s="144"/>
      <c r="AX6" s="144"/>
      <c r="AY6" s="144"/>
      <c r="AZ6" s="144"/>
      <c r="BA6" s="144"/>
      <c r="BB6" s="144"/>
      <c r="BC6" s="144"/>
      <c r="BD6" s="144"/>
      <c r="BE6" s="144"/>
      <c r="BF6" s="146"/>
      <c r="BG6" s="146"/>
      <c r="BH6" s="146"/>
      <c r="BI6" s="153"/>
      <c r="BJ6" s="147">
        <v>46020</v>
      </c>
      <c r="BK6" s="147">
        <v>46021</v>
      </c>
      <c r="BL6" s="147">
        <v>46022</v>
      </c>
      <c r="BM6" s="147">
        <v>46023</v>
      </c>
      <c r="BN6" s="147">
        <v>46024</v>
      </c>
      <c r="BO6" s="147">
        <v>46025</v>
      </c>
      <c r="BP6" s="147">
        <v>46026</v>
      </c>
      <c r="BQ6" s="147">
        <v>46027</v>
      </c>
      <c r="BR6" s="147">
        <v>46028</v>
      </c>
      <c r="BS6" s="147">
        <v>46029</v>
      </c>
      <c r="BT6" s="147">
        <v>46030</v>
      </c>
      <c r="BU6" s="147">
        <v>46031</v>
      </c>
      <c r="BV6" s="147">
        <v>46032</v>
      </c>
      <c r="BW6" s="147">
        <v>46033</v>
      </c>
      <c r="BX6" s="147">
        <v>46034</v>
      </c>
      <c r="BY6" s="147">
        <v>46035</v>
      </c>
      <c r="BZ6" s="147">
        <v>46036</v>
      </c>
      <c r="CA6" s="147">
        <v>46037</v>
      </c>
      <c r="CB6" s="147">
        <v>46038</v>
      </c>
      <c r="CC6" s="147">
        <v>46039</v>
      </c>
      <c r="CD6" s="147">
        <v>46040</v>
      </c>
      <c r="CE6" s="147">
        <v>46041</v>
      </c>
      <c r="CF6" s="147">
        <v>46042</v>
      </c>
      <c r="CG6" s="147">
        <v>46043</v>
      </c>
      <c r="CH6" s="147">
        <v>46044</v>
      </c>
      <c r="CI6" s="147">
        <v>46045</v>
      </c>
      <c r="CJ6" s="147">
        <v>46046</v>
      </c>
      <c r="CK6" s="147">
        <v>46047</v>
      </c>
      <c r="CL6" s="147">
        <v>46048</v>
      </c>
      <c r="CM6" s="147">
        <v>46049</v>
      </c>
      <c r="CN6" s="147">
        <v>46050</v>
      </c>
      <c r="CO6" s="147">
        <v>46051</v>
      </c>
      <c r="CP6" s="147">
        <v>46052</v>
      </c>
      <c r="CQ6" s="147">
        <v>46053</v>
      </c>
      <c r="CR6" s="147">
        <v>46054</v>
      </c>
      <c r="CS6" s="147">
        <v>46055</v>
      </c>
      <c r="CT6" s="147">
        <v>46056</v>
      </c>
      <c r="CU6" s="147">
        <v>46057</v>
      </c>
      <c r="CV6" s="147">
        <v>46058</v>
      </c>
      <c r="CW6" s="147">
        <v>46059</v>
      </c>
      <c r="CX6" s="147">
        <v>46060</v>
      </c>
      <c r="CY6" s="147">
        <v>46061</v>
      </c>
      <c r="CZ6" s="147">
        <v>46062</v>
      </c>
      <c r="DA6" s="147">
        <v>46063</v>
      </c>
      <c r="DB6" s="147">
        <v>46064</v>
      </c>
      <c r="DC6" s="147">
        <v>46065</v>
      </c>
      <c r="DD6" s="147">
        <v>46066</v>
      </c>
      <c r="DE6" s="147">
        <v>46067</v>
      </c>
      <c r="DF6" s="147">
        <v>46068</v>
      </c>
      <c r="DG6" s="147"/>
    </row>
    <row r="7" spans="1:120" x14ac:dyDescent="0.3">
      <c r="J7" s="182" t="s">
        <v>302</v>
      </c>
      <c r="K7" s="116"/>
      <c r="L7" s="117"/>
      <c r="M7" s="116"/>
      <c r="N7" s="116"/>
      <c r="O7" s="116"/>
      <c r="P7" s="116"/>
      <c r="Q7" s="116"/>
      <c r="R7" s="116"/>
      <c r="S7" s="116"/>
      <c r="T7" s="116"/>
      <c r="U7" s="116"/>
      <c r="V7" s="116"/>
      <c r="W7" s="116"/>
      <c r="X7" s="116"/>
      <c r="Y7" s="116"/>
      <c r="Z7" s="118"/>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20"/>
      <c r="BG7" s="120"/>
      <c r="BH7" s="120"/>
      <c r="BJ7" s="148" t="s">
        <v>306</v>
      </c>
      <c r="BK7" s="148"/>
      <c r="BL7" s="148"/>
      <c r="BM7" s="148"/>
      <c r="BN7" s="148"/>
      <c r="BO7" s="148"/>
      <c r="BP7" s="148"/>
      <c r="BQ7" s="149" t="s">
        <v>307</v>
      </c>
      <c r="BR7" s="149"/>
      <c r="BS7" s="149"/>
      <c r="BT7" s="149"/>
      <c r="BU7" s="149"/>
      <c r="BV7" s="149"/>
      <c r="BW7" s="149"/>
      <c r="BX7" s="148" t="s">
        <v>333</v>
      </c>
      <c r="BY7" s="148"/>
      <c r="BZ7" s="148"/>
      <c r="CA7" s="148"/>
      <c r="CB7" s="148"/>
      <c r="CC7" s="148"/>
      <c r="CD7" s="148"/>
      <c r="CE7" s="149" t="s">
        <v>334</v>
      </c>
      <c r="CF7" s="149"/>
      <c r="CG7" s="149"/>
      <c r="CH7" s="149"/>
      <c r="CI7" s="149"/>
      <c r="CJ7" s="149"/>
      <c r="CK7" s="149"/>
      <c r="CL7" s="148" t="s">
        <v>335</v>
      </c>
      <c r="CM7" s="148"/>
      <c r="CN7" s="148"/>
      <c r="CO7" s="148"/>
      <c r="CP7" s="148"/>
      <c r="CQ7" s="148"/>
      <c r="CR7" s="148"/>
      <c r="CS7" s="149" t="s">
        <v>336</v>
      </c>
      <c r="CT7" s="149"/>
      <c r="CU7" s="149"/>
      <c r="CV7" s="149"/>
      <c r="CW7" s="149"/>
      <c r="CX7" s="149"/>
      <c r="CY7" s="149"/>
      <c r="CZ7" s="148" t="s">
        <v>337</v>
      </c>
      <c r="DA7" s="148"/>
      <c r="DB7" s="148"/>
      <c r="DC7" s="148"/>
      <c r="DD7" s="148"/>
      <c r="DE7" s="148"/>
      <c r="DF7" s="148"/>
    </row>
    <row r="8" spans="1:120" x14ac:dyDescent="0.3">
      <c r="H8" s="137"/>
      <c r="I8" s="138"/>
      <c r="J8" s="183" t="s">
        <v>303</v>
      </c>
      <c r="K8" s="139"/>
      <c r="L8" s="140"/>
      <c r="M8" s="139"/>
      <c r="N8" s="139"/>
      <c r="O8" s="139"/>
      <c r="P8" s="139"/>
      <c r="Q8" s="139"/>
      <c r="R8" s="139"/>
      <c r="S8" s="139"/>
      <c r="T8" s="139"/>
      <c r="U8" s="139"/>
      <c r="V8" s="139"/>
      <c r="W8" s="139"/>
      <c r="X8" s="139"/>
      <c r="Y8" s="139"/>
      <c r="Z8" s="141"/>
      <c r="AA8" s="139"/>
      <c r="AB8" s="139"/>
      <c r="AC8" s="139"/>
      <c r="AD8" s="139"/>
      <c r="AE8" s="139"/>
      <c r="AF8" s="139"/>
      <c r="AG8" s="139"/>
      <c r="AH8" s="139"/>
      <c r="AI8" s="139"/>
      <c r="AJ8" s="139"/>
      <c r="AK8" s="139"/>
      <c r="AL8" s="139"/>
      <c r="AM8" s="139"/>
      <c r="AN8" s="139"/>
      <c r="AO8" s="139"/>
      <c r="AP8" s="139"/>
      <c r="AQ8" s="139"/>
      <c r="AR8" s="139"/>
      <c r="AS8" s="139"/>
      <c r="AT8" s="139"/>
      <c r="AU8" s="139"/>
      <c r="AV8" s="139"/>
      <c r="AW8" s="139"/>
      <c r="AX8" s="139"/>
      <c r="AY8" s="139"/>
      <c r="AZ8" s="139"/>
      <c r="BA8" s="139"/>
      <c r="BB8" s="139"/>
      <c r="BC8" s="139"/>
      <c r="BD8" s="139"/>
      <c r="BE8" s="139"/>
      <c r="BF8" s="142"/>
      <c r="BG8" s="142"/>
      <c r="BH8" s="142"/>
      <c r="BI8" s="138"/>
      <c r="BJ8" s="152">
        <v>29</v>
      </c>
      <c r="BK8" s="151">
        <v>30</v>
      </c>
      <c r="BL8" s="151">
        <v>31</v>
      </c>
      <c r="BM8" s="151">
        <v>1</v>
      </c>
      <c r="BN8" s="151">
        <v>2</v>
      </c>
      <c r="BO8" s="151">
        <v>3</v>
      </c>
      <c r="BP8" s="151">
        <v>4</v>
      </c>
      <c r="BQ8" s="151">
        <v>5</v>
      </c>
      <c r="BR8" s="151">
        <v>6</v>
      </c>
      <c r="BS8" s="151">
        <v>7</v>
      </c>
      <c r="BT8" s="151">
        <v>8</v>
      </c>
      <c r="BU8" s="151">
        <v>9</v>
      </c>
      <c r="BV8" s="151">
        <v>10</v>
      </c>
      <c r="BW8" s="151">
        <v>11</v>
      </c>
      <c r="BX8" s="151">
        <v>12</v>
      </c>
      <c r="BY8" s="151">
        <v>13</v>
      </c>
      <c r="BZ8" s="151">
        <v>14</v>
      </c>
      <c r="CA8" s="151">
        <v>15</v>
      </c>
      <c r="CB8" s="151">
        <v>16</v>
      </c>
      <c r="CC8" s="151">
        <v>17</v>
      </c>
      <c r="CD8" s="151">
        <v>18</v>
      </c>
      <c r="CE8" s="151">
        <v>19</v>
      </c>
      <c r="CF8" s="151">
        <v>20</v>
      </c>
      <c r="CG8" s="151">
        <v>21</v>
      </c>
      <c r="CH8" s="151">
        <v>22</v>
      </c>
      <c r="CI8" s="151">
        <v>23</v>
      </c>
      <c r="CJ8" s="151">
        <v>24</v>
      </c>
      <c r="CK8" s="151">
        <v>25</v>
      </c>
      <c r="CL8" s="151">
        <v>26</v>
      </c>
      <c r="CM8" s="151">
        <v>27</v>
      </c>
      <c r="CN8" s="151">
        <v>28</v>
      </c>
      <c r="CO8" s="151">
        <v>29</v>
      </c>
      <c r="CP8" s="151">
        <v>30</v>
      </c>
      <c r="CQ8" s="151">
        <v>31</v>
      </c>
      <c r="CR8" s="151">
        <v>1</v>
      </c>
      <c r="CS8" s="151">
        <v>2</v>
      </c>
      <c r="CT8" s="151">
        <v>3</v>
      </c>
      <c r="CU8" s="151">
        <v>4</v>
      </c>
      <c r="CV8" s="151">
        <v>5</v>
      </c>
      <c r="CW8" s="151">
        <v>6</v>
      </c>
      <c r="CX8" s="151">
        <v>7</v>
      </c>
      <c r="CY8" s="151">
        <v>8</v>
      </c>
      <c r="CZ8" s="151">
        <v>9</v>
      </c>
      <c r="DA8" s="151">
        <v>10</v>
      </c>
      <c r="DB8" s="151">
        <v>11</v>
      </c>
      <c r="DC8" s="151">
        <v>12</v>
      </c>
      <c r="DD8" s="151">
        <v>13</v>
      </c>
      <c r="DE8" s="151">
        <v>14</v>
      </c>
      <c r="DF8" s="151">
        <v>15</v>
      </c>
      <c r="DG8" s="150"/>
    </row>
    <row r="9" spans="1:120" ht="24" customHeight="1" x14ac:dyDescent="0.3">
      <c r="A9" s="111" t="s">
        <v>225</v>
      </c>
      <c r="B9" s="111" t="s">
        <v>217</v>
      </c>
      <c r="C9" s="111" t="s">
        <v>218</v>
      </c>
      <c r="D9" s="111" t="s">
        <v>219</v>
      </c>
      <c r="E9" s="111" t="s">
        <v>220</v>
      </c>
      <c r="F9" s="111" t="s">
        <v>221</v>
      </c>
      <c r="H9" s="154"/>
      <c r="I9" s="155"/>
      <c r="J9" s="184" t="s">
        <v>27</v>
      </c>
      <c r="K9" s="155" t="s">
        <v>26</v>
      </c>
      <c r="L9" s="155" t="s">
        <v>133</v>
      </c>
      <c r="M9" s="155" t="s">
        <v>134</v>
      </c>
      <c r="N9" s="155" t="s">
        <v>216</v>
      </c>
      <c r="O9" s="155" t="s">
        <v>269</v>
      </c>
      <c r="P9" s="155" t="s">
        <v>270</v>
      </c>
      <c r="Q9" s="155" t="s">
        <v>271</v>
      </c>
      <c r="R9" s="155" t="s">
        <v>272</v>
      </c>
      <c r="S9" s="155" t="s">
        <v>273</v>
      </c>
      <c r="T9" s="155" t="s">
        <v>274</v>
      </c>
      <c r="U9" s="155" t="s">
        <v>275</v>
      </c>
      <c r="V9" s="155" t="s">
        <v>276</v>
      </c>
      <c r="W9" s="155" t="s">
        <v>277</v>
      </c>
      <c r="X9" s="155" t="s">
        <v>214</v>
      </c>
      <c r="Y9" s="155" t="s">
        <v>224</v>
      </c>
      <c r="Z9" s="156" t="s">
        <v>278</v>
      </c>
      <c r="AA9" s="155" t="s">
        <v>279</v>
      </c>
      <c r="AB9" s="155" t="s">
        <v>280</v>
      </c>
      <c r="AC9" s="155" t="s">
        <v>281</v>
      </c>
      <c r="AD9" s="155" t="s">
        <v>183</v>
      </c>
      <c r="AE9" s="155" t="s">
        <v>282</v>
      </c>
      <c r="AF9" s="155" t="s">
        <v>184</v>
      </c>
      <c r="AG9" s="155" t="s">
        <v>12</v>
      </c>
      <c r="AH9" s="155" t="s">
        <v>284</v>
      </c>
      <c r="AI9" s="155" t="s">
        <v>286</v>
      </c>
      <c r="AJ9" s="155" t="s">
        <v>288</v>
      </c>
      <c r="AK9" s="155" t="s">
        <v>290</v>
      </c>
      <c r="AL9" s="155" t="s">
        <v>163</v>
      </c>
      <c r="AM9" s="155" t="s">
        <v>164</v>
      </c>
      <c r="AN9" s="155" t="s">
        <v>165</v>
      </c>
      <c r="AO9" s="155" t="s">
        <v>166</v>
      </c>
      <c r="AP9" s="155" t="s">
        <v>167</v>
      </c>
      <c r="AQ9" s="155" t="s">
        <v>168</v>
      </c>
      <c r="AR9" s="155" t="s">
        <v>169</v>
      </c>
      <c r="AS9" s="155" t="s">
        <v>170</v>
      </c>
      <c r="AT9" s="155" t="s">
        <v>171</v>
      </c>
      <c r="AU9" s="155" t="s">
        <v>172</v>
      </c>
      <c r="AV9" s="155" t="s">
        <v>173</v>
      </c>
      <c r="AW9" s="155" t="s">
        <v>174</v>
      </c>
      <c r="AX9" s="155" t="s">
        <v>175</v>
      </c>
      <c r="AY9" s="155" t="s">
        <v>176</v>
      </c>
      <c r="AZ9" s="155" t="s">
        <v>177</v>
      </c>
      <c r="BA9" s="155" t="s">
        <v>178</v>
      </c>
      <c r="BB9" s="155" t="s">
        <v>179</v>
      </c>
      <c r="BC9" s="155" t="s">
        <v>180</v>
      </c>
      <c r="BD9" s="155" t="s">
        <v>181</v>
      </c>
      <c r="BE9" s="155" t="s">
        <v>182</v>
      </c>
      <c r="BF9" s="157" t="s">
        <v>291</v>
      </c>
      <c r="BG9" s="157" t="s">
        <v>292</v>
      </c>
      <c r="BH9" s="157" t="s">
        <v>293</v>
      </c>
      <c r="BI9" s="155"/>
      <c r="BJ9" s="173" t="s">
        <v>235</v>
      </c>
      <c r="BK9" s="158" t="s">
        <v>158</v>
      </c>
      <c r="BL9" s="158" t="s">
        <v>300</v>
      </c>
      <c r="BM9" s="158" t="s">
        <v>158</v>
      </c>
      <c r="BN9" s="158" t="s">
        <v>301</v>
      </c>
      <c r="BO9" s="159" t="s">
        <v>185</v>
      </c>
      <c r="BP9" s="159" t="s">
        <v>185</v>
      </c>
      <c r="BQ9" s="158" t="s">
        <v>235</v>
      </c>
      <c r="BR9" s="158" t="s">
        <v>158</v>
      </c>
      <c r="BS9" s="158" t="s">
        <v>300</v>
      </c>
      <c r="BT9" s="158" t="s">
        <v>158</v>
      </c>
      <c r="BU9" s="158" t="s">
        <v>301</v>
      </c>
      <c r="BV9" s="159" t="s">
        <v>185</v>
      </c>
      <c r="BW9" s="159" t="s">
        <v>185</v>
      </c>
      <c r="BX9" s="158" t="s">
        <v>235</v>
      </c>
      <c r="BY9" s="158" t="s">
        <v>158</v>
      </c>
      <c r="BZ9" s="158" t="s">
        <v>300</v>
      </c>
      <c r="CA9" s="158" t="s">
        <v>158</v>
      </c>
      <c r="CB9" s="158" t="s">
        <v>301</v>
      </c>
      <c r="CC9" s="159" t="s">
        <v>185</v>
      </c>
      <c r="CD9" s="159" t="s">
        <v>185</v>
      </c>
      <c r="CE9" s="158" t="s">
        <v>235</v>
      </c>
      <c r="CF9" s="158" t="s">
        <v>158</v>
      </c>
      <c r="CG9" s="158" t="s">
        <v>300</v>
      </c>
      <c r="CH9" s="158" t="s">
        <v>158</v>
      </c>
      <c r="CI9" s="158" t="s">
        <v>301</v>
      </c>
      <c r="CJ9" s="159" t="s">
        <v>185</v>
      </c>
      <c r="CK9" s="159" t="s">
        <v>185</v>
      </c>
      <c r="CL9" s="158" t="s">
        <v>235</v>
      </c>
      <c r="CM9" s="158" t="s">
        <v>158</v>
      </c>
      <c r="CN9" s="158" t="s">
        <v>300</v>
      </c>
      <c r="CO9" s="158" t="s">
        <v>158</v>
      </c>
      <c r="CP9" s="158" t="s">
        <v>301</v>
      </c>
      <c r="CQ9" s="159" t="s">
        <v>185</v>
      </c>
      <c r="CR9" s="159" t="s">
        <v>185</v>
      </c>
      <c r="CS9" s="158" t="s">
        <v>235</v>
      </c>
      <c r="CT9" s="158" t="s">
        <v>158</v>
      </c>
      <c r="CU9" s="158" t="s">
        <v>300</v>
      </c>
      <c r="CV9" s="158" t="s">
        <v>158</v>
      </c>
      <c r="CW9" s="158" t="s">
        <v>301</v>
      </c>
      <c r="CX9" s="159" t="s">
        <v>185</v>
      </c>
      <c r="CY9" s="159" t="s">
        <v>185</v>
      </c>
      <c r="CZ9" s="158" t="s">
        <v>235</v>
      </c>
      <c r="DA9" s="158" t="s">
        <v>158</v>
      </c>
      <c r="DB9" s="158" t="s">
        <v>300</v>
      </c>
      <c r="DC9" s="158" t="s">
        <v>158</v>
      </c>
      <c r="DD9" s="158" t="s">
        <v>301</v>
      </c>
      <c r="DE9" s="159" t="s">
        <v>185</v>
      </c>
      <c r="DF9" s="159" t="s">
        <v>185</v>
      </c>
      <c r="DG9" s="150"/>
    </row>
    <row r="10" spans="1:120" s="121" customFormat="1" ht="18" customHeight="1" x14ac:dyDescent="0.3">
      <c r="A10" s="111" t="s">
        <v>158</v>
      </c>
      <c r="B10" s="111">
        <v>1</v>
      </c>
      <c r="C10" s="111"/>
      <c r="D10" s="111"/>
      <c r="E10" s="111"/>
      <c r="F10" s="111"/>
      <c r="G10" s="111">
        <v>0</v>
      </c>
      <c r="H10" s="188"/>
      <c r="I10" s="161" t="s">
        <v>160</v>
      </c>
      <c r="J10" s="185" t="s">
        <v>321</v>
      </c>
      <c r="K10" s="162" t="s">
        <v>308</v>
      </c>
      <c r="L10" s="163" t="s">
        <v>159</v>
      </c>
      <c r="M10" s="164" t="s">
        <v>330</v>
      </c>
      <c r="N10" s="162"/>
      <c r="O10" s="165"/>
      <c r="P10" s="166"/>
      <c r="Q10" s="166"/>
      <c r="R10" s="167"/>
      <c r="S10" s="166">
        <v>46004</v>
      </c>
      <c r="T10" s="166">
        <v>46010</v>
      </c>
      <c r="U10" s="167">
        <v>5</v>
      </c>
      <c r="V10" s="162"/>
      <c r="W10" s="162"/>
      <c r="X10" s="167"/>
      <c r="Y10" s="168">
        <v>0</v>
      </c>
      <c r="Z10" s="169">
        <v>0.5</v>
      </c>
      <c r="AA10" s="166"/>
      <c r="AB10" s="166"/>
      <c r="AC10" s="167"/>
      <c r="AD10" s="165"/>
      <c r="AE10" s="165"/>
      <c r="AF10" s="165"/>
      <c r="AG10" s="162"/>
      <c r="AH10" s="162"/>
      <c r="AI10" s="162"/>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70"/>
      <c r="BG10" s="170"/>
      <c r="BH10" s="170"/>
      <c r="BI10" s="162"/>
      <c r="BJ10" s="174"/>
      <c r="BK10" s="171"/>
      <c r="BL10" s="171"/>
      <c r="BM10" s="171"/>
      <c r="BN10" s="171"/>
      <c r="BO10" s="171"/>
      <c r="BP10" s="171"/>
      <c r="BQ10" s="171"/>
      <c r="BR10" s="171"/>
      <c r="BS10" s="171"/>
      <c r="BT10" s="171"/>
      <c r="BU10" s="171"/>
      <c r="BV10" s="171"/>
      <c r="BW10" s="171"/>
      <c r="BX10" s="171"/>
      <c r="BY10" s="171"/>
      <c r="BZ10" s="171"/>
      <c r="CA10" s="171"/>
      <c r="CB10" s="171"/>
      <c r="CC10" s="171"/>
      <c r="CD10" s="171"/>
      <c r="CE10" s="171"/>
      <c r="CF10" s="171"/>
      <c r="CG10" s="171"/>
      <c r="CH10" s="171"/>
      <c r="CI10" s="171"/>
      <c r="CJ10" s="171"/>
      <c r="CK10" s="171"/>
      <c r="CL10" s="171"/>
      <c r="CM10" s="171"/>
      <c r="CN10" s="171"/>
      <c r="CO10" s="171"/>
      <c r="CP10" s="171"/>
      <c r="CQ10" s="171"/>
      <c r="CR10" s="171"/>
      <c r="CS10" s="171"/>
      <c r="CT10" s="171"/>
      <c r="CU10" s="171"/>
      <c r="CV10" s="171"/>
      <c r="CW10" s="171"/>
      <c r="CX10" s="171"/>
      <c r="CY10" s="171"/>
      <c r="CZ10" s="171"/>
      <c r="DA10" s="171"/>
      <c r="DB10" s="171"/>
      <c r="DC10" s="171"/>
      <c r="DD10" s="171"/>
      <c r="DE10" s="171"/>
      <c r="DF10" s="171"/>
      <c r="DG10" s="150"/>
      <c r="DH10"/>
      <c r="DI10"/>
      <c r="DJ10"/>
      <c r="DK10"/>
      <c r="DL10"/>
      <c r="DM10"/>
      <c r="DN10"/>
      <c r="DO10"/>
      <c r="DP10"/>
    </row>
    <row r="11" spans="1:120" s="121" customFormat="1" ht="18" customHeight="1" x14ac:dyDescent="0.3">
      <c r="A11" s="111" t="s">
        <v>158</v>
      </c>
      <c r="B11" s="111">
        <v>2</v>
      </c>
      <c r="C11" s="111"/>
      <c r="D11" s="111"/>
      <c r="E11" s="111"/>
      <c r="F11" s="111"/>
      <c r="G11" s="111">
        <v>0</v>
      </c>
      <c r="H11" s="160"/>
      <c r="I11" s="161" t="s">
        <v>160</v>
      </c>
      <c r="J11" s="185" t="s">
        <v>322</v>
      </c>
      <c r="K11" s="162" t="s">
        <v>309</v>
      </c>
      <c r="L11" s="163" t="s">
        <v>159</v>
      </c>
      <c r="M11" s="164" t="s">
        <v>58</v>
      </c>
      <c r="N11" s="162"/>
      <c r="O11" s="165"/>
      <c r="P11" s="166"/>
      <c r="Q11" s="166"/>
      <c r="R11" s="167"/>
      <c r="S11" s="166">
        <v>46004</v>
      </c>
      <c r="T11" s="166">
        <v>46006</v>
      </c>
      <c r="U11" s="167">
        <v>1</v>
      </c>
      <c r="V11" s="162"/>
      <c r="W11" s="162"/>
      <c r="X11" s="167"/>
      <c r="Y11" s="168">
        <v>0</v>
      </c>
      <c r="Z11" s="169">
        <v>0</v>
      </c>
      <c r="AA11" s="166"/>
      <c r="AB11" s="166"/>
      <c r="AC11" s="167"/>
      <c r="AD11" s="165"/>
      <c r="AE11" s="165"/>
      <c r="AF11" s="165"/>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70"/>
      <c r="BG11" s="170"/>
      <c r="BH11" s="170"/>
      <c r="BI11" s="162"/>
      <c r="BJ11" s="174"/>
      <c r="BK11" s="171"/>
      <c r="BL11" s="171"/>
      <c r="BM11" s="171"/>
      <c r="BN11" s="171"/>
      <c r="BO11" s="171"/>
      <c r="BP11" s="171"/>
      <c r="BQ11" s="171"/>
      <c r="BR11" s="171"/>
      <c r="BS11" s="171"/>
      <c r="BT11" s="171"/>
      <c r="BU11" s="171"/>
      <c r="BV11" s="171"/>
      <c r="BW11" s="171"/>
      <c r="BX11" s="171"/>
      <c r="BY11" s="171"/>
      <c r="BZ11" s="171"/>
      <c r="CA11" s="171"/>
      <c r="CB11" s="171"/>
      <c r="CC11" s="171"/>
      <c r="CD11" s="171"/>
      <c r="CE11" s="171"/>
      <c r="CF11" s="171"/>
      <c r="CG11" s="171"/>
      <c r="CH11" s="171"/>
      <c r="CI11" s="171"/>
      <c r="CJ11" s="171"/>
      <c r="CK11" s="171"/>
      <c r="CL11" s="171"/>
      <c r="CM11" s="171"/>
      <c r="CN11" s="171"/>
      <c r="CO11" s="171"/>
      <c r="CP11" s="171"/>
      <c r="CQ11" s="171"/>
      <c r="CR11" s="171"/>
      <c r="CS11" s="171"/>
      <c r="CT11" s="171"/>
      <c r="CU11" s="171"/>
      <c r="CV11" s="171"/>
      <c r="CW11" s="171"/>
      <c r="CX11" s="171"/>
      <c r="CY11" s="171"/>
      <c r="CZ11" s="171"/>
      <c r="DA11" s="171"/>
      <c r="DB11" s="171"/>
      <c r="DC11" s="171"/>
      <c r="DD11" s="171"/>
      <c r="DE11" s="171"/>
      <c r="DF11" s="171"/>
      <c r="DG11" s="150"/>
      <c r="DH11"/>
      <c r="DI11"/>
      <c r="DJ11"/>
      <c r="DK11"/>
      <c r="DL11"/>
      <c r="DM11"/>
      <c r="DN11"/>
      <c r="DO11"/>
      <c r="DP11"/>
    </row>
    <row r="12" spans="1:120" s="121" customFormat="1" ht="18" customHeight="1" x14ac:dyDescent="0.3">
      <c r="A12" s="111" t="s">
        <v>158</v>
      </c>
      <c r="B12" s="111">
        <v>3</v>
      </c>
      <c r="C12" s="111"/>
      <c r="D12" s="111"/>
      <c r="E12" s="111"/>
      <c r="F12" s="111"/>
      <c r="G12" s="111">
        <v>0</v>
      </c>
      <c r="H12" s="160"/>
      <c r="I12" s="161" t="s">
        <v>160</v>
      </c>
      <c r="J12" s="185" t="s">
        <v>323</v>
      </c>
      <c r="K12" s="162" t="s">
        <v>310</v>
      </c>
      <c r="L12" s="163" t="s">
        <v>159</v>
      </c>
      <c r="M12" s="164" t="s">
        <v>58</v>
      </c>
      <c r="N12" s="162"/>
      <c r="O12" s="165"/>
      <c r="P12" s="166"/>
      <c r="Q12" s="166"/>
      <c r="R12" s="167"/>
      <c r="S12" s="166">
        <v>46004</v>
      </c>
      <c r="T12" s="166">
        <v>46006</v>
      </c>
      <c r="U12" s="167">
        <v>1</v>
      </c>
      <c r="V12" s="162"/>
      <c r="W12" s="162"/>
      <c r="X12" s="167"/>
      <c r="Y12" s="168">
        <v>0</v>
      </c>
      <c r="Z12" s="169">
        <v>0</v>
      </c>
      <c r="AA12" s="166"/>
      <c r="AB12" s="166"/>
      <c r="AC12" s="167"/>
      <c r="AD12" s="165"/>
      <c r="AE12" s="165"/>
      <c r="AF12" s="165"/>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70"/>
      <c r="BG12" s="170"/>
      <c r="BH12" s="170"/>
      <c r="BI12" s="162"/>
      <c r="BJ12" s="174"/>
      <c r="BK12" s="171"/>
      <c r="BL12" s="171"/>
      <c r="BM12" s="171"/>
      <c r="BN12" s="171"/>
      <c r="BO12" s="171"/>
      <c r="BP12" s="171"/>
      <c r="BQ12" s="171"/>
      <c r="BR12" s="171"/>
      <c r="BS12" s="171"/>
      <c r="BT12" s="171"/>
      <c r="BU12" s="171"/>
      <c r="BV12" s="171"/>
      <c r="BW12" s="171"/>
      <c r="BX12" s="171"/>
      <c r="BY12" s="171"/>
      <c r="BZ12" s="171"/>
      <c r="CA12" s="171"/>
      <c r="CB12" s="171"/>
      <c r="CC12" s="171"/>
      <c r="CD12" s="171"/>
      <c r="CE12" s="171"/>
      <c r="CF12" s="171"/>
      <c r="CG12" s="171"/>
      <c r="CH12" s="171"/>
      <c r="CI12" s="171"/>
      <c r="CJ12" s="171"/>
      <c r="CK12" s="171"/>
      <c r="CL12" s="171"/>
      <c r="CM12" s="171"/>
      <c r="CN12" s="171"/>
      <c r="CO12" s="171"/>
      <c r="CP12" s="171"/>
      <c r="CQ12" s="171"/>
      <c r="CR12" s="171"/>
      <c r="CS12" s="171"/>
      <c r="CT12" s="171"/>
      <c r="CU12" s="171"/>
      <c r="CV12" s="171"/>
      <c r="CW12" s="171"/>
      <c r="CX12" s="171"/>
      <c r="CY12" s="171"/>
      <c r="CZ12" s="171"/>
      <c r="DA12" s="171"/>
      <c r="DB12" s="171"/>
      <c r="DC12" s="171"/>
      <c r="DD12" s="171"/>
      <c r="DE12" s="171"/>
      <c r="DF12" s="171"/>
      <c r="DG12" s="150"/>
      <c r="DH12"/>
      <c r="DI12"/>
      <c r="DJ12"/>
      <c r="DK12"/>
      <c r="DL12"/>
      <c r="DM12"/>
      <c r="DN12"/>
      <c r="DO12"/>
      <c r="DP12"/>
    </row>
    <row r="13" spans="1:120" s="121" customFormat="1" ht="18" customHeight="1" x14ac:dyDescent="0.3">
      <c r="A13" s="111" t="s">
        <v>158</v>
      </c>
      <c r="B13" s="111">
        <v>4</v>
      </c>
      <c r="C13" s="111"/>
      <c r="D13" s="111"/>
      <c r="E13" s="111"/>
      <c r="F13" s="111"/>
      <c r="G13" s="111">
        <v>0</v>
      </c>
      <c r="H13" s="160"/>
      <c r="I13" s="161" t="s">
        <v>160</v>
      </c>
      <c r="J13" s="185" t="s">
        <v>324</v>
      </c>
      <c r="K13" s="162" t="s">
        <v>311</v>
      </c>
      <c r="L13" s="163" t="s">
        <v>159</v>
      </c>
      <c r="M13" s="164" t="s">
        <v>58</v>
      </c>
      <c r="N13" s="162"/>
      <c r="O13" s="165"/>
      <c r="P13" s="166"/>
      <c r="Q13" s="166"/>
      <c r="R13" s="167"/>
      <c r="S13" s="166">
        <v>46004</v>
      </c>
      <c r="T13" s="166">
        <v>46006</v>
      </c>
      <c r="U13" s="167">
        <v>1</v>
      </c>
      <c r="V13" s="162"/>
      <c r="W13" s="162"/>
      <c r="X13" s="167"/>
      <c r="Y13" s="168">
        <v>0</v>
      </c>
      <c r="Z13" s="169">
        <v>0</v>
      </c>
      <c r="AA13" s="166"/>
      <c r="AB13" s="166"/>
      <c r="AC13" s="167"/>
      <c r="AD13" s="165"/>
      <c r="AE13" s="165"/>
      <c r="AF13" s="165"/>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70"/>
      <c r="BG13" s="170"/>
      <c r="BH13" s="170"/>
      <c r="BI13" s="162"/>
      <c r="BJ13" s="174"/>
      <c r="BK13" s="171"/>
      <c r="BL13" s="171"/>
      <c r="BM13" s="171"/>
      <c r="BN13" s="171"/>
      <c r="BO13" s="171"/>
      <c r="BP13" s="171"/>
      <c r="BQ13" s="171"/>
      <c r="BR13" s="171"/>
      <c r="BS13" s="171"/>
      <c r="BT13" s="171"/>
      <c r="BU13" s="171"/>
      <c r="BV13" s="171"/>
      <c r="BW13" s="171"/>
      <c r="BX13" s="171"/>
      <c r="BY13" s="171"/>
      <c r="BZ13" s="171"/>
      <c r="CA13" s="171"/>
      <c r="CB13" s="171"/>
      <c r="CC13" s="171"/>
      <c r="CD13" s="171"/>
      <c r="CE13" s="171"/>
      <c r="CF13" s="171"/>
      <c r="CG13" s="171"/>
      <c r="CH13" s="171"/>
      <c r="CI13" s="171"/>
      <c r="CJ13" s="171"/>
      <c r="CK13" s="171"/>
      <c r="CL13" s="171"/>
      <c r="CM13" s="171"/>
      <c r="CN13" s="171"/>
      <c r="CO13" s="171"/>
      <c r="CP13" s="171"/>
      <c r="CQ13" s="171"/>
      <c r="CR13" s="171"/>
      <c r="CS13" s="171"/>
      <c r="CT13" s="171"/>
      <c r="CU13" s="171"/>
      <c r="CV13" s="171"/>
      <c r="CW13" s="171"/>
      <c r="CX13" s="171"/>
      <c r="CY13" s="171"/>
      <c r="CZ13" s="171"/>
      <c r="DA13" s="171"/>
      <c r="DB13" s="171"/>
      <c r="DC13" s="171"/>
      <c r="DD13" s="171"/>
      <c r="DE13" s="171"/>
      <c r="DF13" s="171"/>
      <c r="DG13" s="150"/>
      <c r="DH13"/>
      <c r="DI13"/>
      <c r="DJ13"/>
      <c r="DK13"/>
      <c r="DL13"/>
      <c r="DM13"/>
      <c r="DN13"/>
      <c r="DO13"/>
      <c r="DP13"/>
    </row>
    <row r="14" spans="1:120" s="121" customFormat="1" ht="18" customHeight="1" x14ac:dyDescent="0.3">
      <c r="A14" s="111" t="s">
        <v>158</v>
      </c>
      <c r="B14" s="111">
        <v>5</v>
      </c>
      <c r="C14" s="111"/>
      <c r="D14" s="111"/>
      <c r="E14" s="111"/>
      <c r="F14" s="111"/>
      <c r="G14" s="111">
        <v>0</v>
      </c>
      <c r="H14" s="160"/>
      <c r="I14" s="161" t="s">
        <v>160</v>
      </c>
      <c r="J14" s="185" t="s">
        <v>325</v>
      </c>
      <c r="K14" s="162" t="s">
        <v>312</v>
      </c>
      <c r="L14" s="163" t="s">
        <v>159</v>
      </c>
      <c r="M14" s="164" t="s">
        <v>58</v>
      </c>
      <c r="N14" s="162"/>
      <c r="O14" s="165"/>
      <c r="P14" s="166"/>
      <c r="Q14" s="166"/>
      <c r="R14" s="167"/>
      <c r="S14" s="166">
        <v>46004</v>
      </c>
      <c r="T14" s="166">
        <v>46006</v>
      </c>
      <c r="U14" s="167">
        <v>1</v>
      </c>
      <c r="V14" s="162"/>
      <c r="W14" s="162"/>
      <c r="X14" s="167"/>
      <c r="Y14" s="168">
        <v>0</v>
      </c>
      <c r="Z14" s="169">
        <v>0</v>
      </c>
      <c r="AA14" s="166"/>
      <c r="AB14" s="166"/>
      <c r="AC14" s="167"/>
      <c r="AD14" s="165"/>
      <c r="AE14" s="165"/>
      <c r="AF14" s="165"/>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70"/>
      <c r="BG14" s="170"/>
      <c r="BH14" s="170"/>
      <c r="BI14" s="162"/>
      <c r="BJ14" s="174"/>
      <c r="BK14" s="171"/>
      <c r="BL14" s="171"/>
      <c r="BM14" s="171"/>
      <c r="BN14" s="171"/>
      <c r="BO14" s="171"/>
      <c r="BP14" s="171"/>
      <c r="BQ14" s="171"/>
      <c r="BR14" s="171"/>
      <c r="BS14" s="171"/>
      <c r="BT14" s="171"/>
      <c r="BU14" s="171"/>
      <c r="BV14" s="171"/>
      <c r="BW14" s="171"/>
      <c r="BX14" s="171"/>
      <c r="BY14" s="171"/>
      <c r="BZ14" s="171"/>
      <c r="CA14" s="171"/>
      <c r="CB14" s="171"/>
      <c r="CC14" s="171"/>
      <c r="CD14" s="171"/>
      <c r="CE14" s="171"/>
      <c r="CF14" s="171"/>
      <c r="CG14" s="171"/>
      <c r="CH14" s="171"/>
      <c r="CI14" s="171"/>
      <c r="CJ14" s="171"/>
      <c r="CK14" s="171"/>
      <c r="CL14" s="171"/>
      <c r="CM14" s="171"/>
      <c r="CN14" s="171"/>
      <c r="CO14" s="171"/>
      <c r="CP14" s="171"/>
      <c r="CQ14" s="171"/>
      <c r="CR14" s="171"/>
      <c r="CS14" s="171"/>
      <c r="CT14" s="171"/>
      <c r="CU14" s="171"/>
      <c r="CV14" s="171"/>
      <c r="CW14" s="171"/>
      <c r="CX14" s="171"/>
      <c r="CY14" s="171"/>
      <c r="CZ14" s="171"/>
      <c r="DA14" s="171"/>
      <c r="DB14" s="171"/>
      <c r="DC14" s="171"/>
      <c r="DD14" s="171"/>
      <c r="DE14" s="171"/>
      <c r="DF14" s="171"/>
      <c r="DG14" s="150"/>
      <c r="DH14"/>
      <c r="DI14"/>
      <c r="DJ14"/>
      <c r="DK14"/>
      <c r="DL14"/>
      <c r="DM14"/>
      <c r="DN14"/>
      <c r="DO14"/>
      <c r="DP14"/>
    </row>
    <row r="15" spans="1:120" s="121" customFormat="1" ht="18" customHeight="1" x14ac:dyDescent="0.3">
      <c r="A15" s="111" t="s">
        <v>158</v>
      </c>
      <c r="B15" s="111">
        <v>6</v>
      </c>
      <c r="C15" s="111"/>
      <c r="D15" s="111"/>
      <c r="E15" s="111"/>
      <c r="F15" s="111"/>
      <c r="G15" s="111">
        <v>0</v>
      </c>
      <c r="H15" s="160"/>
      <c r="I15" s="176" t="s">
        <v>160</v>
      </c>
      <c r="J15" s="185" t="s">
        <v>326</v>
      </c>
      <c r="K15" s="162" t="s">
        <v>313</v>
      </c>
      <c r="L15" s="163" t="s">
        <v>159</v>
      </c>
      <c r="M15" s="164" t="s">
        <v>58</v>
      </c>
      <c r="N15" s="162"/>
      <c r="O15" s="165"/>
      <c r="P15" s="166"/>
      <c r="Q15" s="166"/>
      <c r="R15" s="167"/>
      <c r="S15" s="166">
        <v>46004</v>
      </c>
      <c r="T15" s="166">
        <v>46006</v>
      </c>
      <c r="U15" s="167">
        <v>1</v>
      </c>
      <c r="V15" s="162"/>
      <c r="W15" s="162"/>
      <c r="X15" s="167"/>
      <c r="Y15" s="168">
        <v>0</v>
      </c>
      <c r="Z15" s="169">
        <v>0</v>
      </c>
      <c r="AA15" s="166"/>
      <c r="AB15" s="166"/>
      <c r="AC15" s="167"/>
      <c r="AD15" s="165"/>
      <c r="AE15" s="165"/>
      <c r="AF15" s="165"/>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70"/>
      <c r="BG15" s="170"/>
      <c r="BH15" s="170"/>
      <c r="BI15" s="162"/>
      <c r="BJ15" s="174"/>
      <c r="BK15" s="171"/>
      <c r="BL15" s="171"/>
      <c r="BM15" s="171"/>
      <c r="BN15" s="171"/>
      <c r="BO15" s="171"/>
      <c r="BP15" s="171"/>
      <c r="BQ15" s="171"/>
      <c r="BR15" s="171"/>
      <c r="BS15" s="171"/>
      <c r="BT15" s="171"/>
      <c r="BU15" s="171"/>
      <c r="BV15" s="171"/>
      <c r="BW15" s="171"/>
      <c r="BX15" s="171"/>
      <c r="BY15" s="171"/>
      <c r="BZ15" s="171"/>
      <c r="CA15" s="171"/>
      <c r="CB15" s="171"/>
      <c r="CC15" s="171"/>
      <c r="CD15" s="171"/>
      <c r="CE15" s="171"/>
      <c r="CF15" s="171"/>
      <c r="CG15" s="171"/>
      <c r="CH15" s="171"/>
      <c r="CI15" s="171"/>
      <c r="CJ15" s="171"/>
      <c r="CK15" s="171"/>
      <c r="CL15" s="171"/>
      <c r="CM15" s="171"/>
      <c r="CN15" s="171"/>
      <c r="CO15" s="171"/>
      <c r="CP15" s="171"/>
      <c r="CQ15" s="171"/>
      <c r="CR15" s="171"/>
      <c r="CS15" s="171"/>
      <c r="CT15" s="171"/>
      <c r="CU15" s="171"/>
      <c r="CV15" s="171"/>
      <c r="CW15" s="171"/>
      <c r="CX15" s="171"/>
      <c r="CY15" s="171"/>
      <c r="CZ15" s="171"/>
      <c r="DA15" s="171"/>
      <c r="DB15" s="171"/>
      <c r="DC15" s="171"/>
      <c r="DD15" s="171"/>
      <c r="DE15" s="171"/>
      <c r="DF15" s="171"/>
      <c r="DG15" s="150"/>
      <c r="DH15"/>
      <c r="DI15"/>
      <c r="DJ15"/>
      <c r="DK15"/>
      <c r="DL15"/>
      <c r="DM15"/>
      <c r="DN15"/>
      <c r="DO15"/>
      <c r="DP15"/>
    </row>
    <row r="16" spans="1:120" s="121" customFormat="1" ht="18" customHeight="1" x14ac:dyDescent="0.3">
      <c r="A16" s="111" t="s">
        <v>158</v>
      </c>
      <c r="B16" s="111">
        <v>7</v>
      </c>
      <c r="C16" s="111"/>
      <c r="D16" s="111"/>
      <c r="E16" s="111"/>
      <c r="F16" s="111"/>
      <c r="G16" s="111">
        <v>0</v>
      </c>
      <c r="H16" s="160"/>
      <c r="I16" s="176" t="s">
        <v>160</v>
      </c>
      <c r="J16" s="185" t="s">
        <v>327</v>
      </c>
      <c r="K16" s="162" t="s">
        <v>314</v>
      </c>
      <c r="L16" s="163" t="s">
        <v>159</v>
      </c>
      <c r="M16" s="164" t="s">
        <v>58</v>
      </c>
      <c r="N16" s="162"/>
      <c r="O16" s="165"/>
      <c r="P16" s="166"/>
      <c r="Q16" s="166"/>
      <c r="R16" s="167"/>
      <c r="S16" s="166">
        <v>46004</v>
      </c>
      <c r="T16" s="166">
        <v>46006</v>
      </c>
      <c r="U16" s="167">
        <v>1</v>
      </c>
      <c r="V16" s="162"/>
      <c r="W16" s="162"/>
      <c r="X16" s="167"/>
      <c r="Y16" s="168">
        <v>0</v>
      </c>
      <c r="Z16" s="169">
        <v>0</v>
      </c>
      <c r="AA16" s="166"/>
      <c r="AB16" s="166"/>
      <c r="AC16" s="167"/>
      <c r="AD16" s="165"/>
      <c r="AE16" s="165"/>
      <c r="AF16" s="165"/>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70"/>
      <c r="BG16" s="170"/>
      <c r="BH16" s="170"/>
      <c r="BI16" s="162"/>
      <c r="BJ16" s="174"/>
      <c r="BK16" s="171"/>
      <c r="BL16" s="171"/>
      <c r="BM16" s="171"/>
      <c r="BN16" s="171"/>
      <c r="BO16" s="171"/>
      <c r="BP16" s="171"/>
      <c r="BQ16" s="171"/>
      <c r="BR16" s="171"/>
      <c r="BS16" s="171"/>
      <c r="BT16" s="171"/>
      <c r="BU16" s="171"/>
      <c r="BV16" s="171"/>
      <c r="BW16" s="171"/>
      <c r="BX16" s="171"/>
      <c r="BY16" s="171"/>
      <c r="BZ16" s="171"/>
      <c r="CA16" s="171"/>
      <c r="CB16" s="171"/>
      <c r="CC16" s="171"/>
      <c r="CD16" s="171"/>
      <c r="CE16" s="171"/>
      <c r="CF16" s="171"/>
      <c r="CG16" s="171"/>
      <c r="CH16" s="171"/>
      <c r="CI16" s="171"/>
      <c r="CJ16" s="171"/>
      <c r="CK16" s="171"/>
      <c r="CL16" s="171"/>
      <c r="CM16" s="171"/>
      <c r="CN16" s="171"/>
      <c r="CO16" s="171"/>
      <c r="CP16" s="171"/>
      <c r="CQ16" s="171"/>
      <c r="CR16" s="171"/>
      <c r="CS16" s="171"/>
      <c r="CT16" s="171"/>
      <c r="CU16" s="171"/>
      <c r="CV16" s="171"/>
      <c r="CW16" s="171"/>
      <c r="CX16" s="171"/>
      <c r="CY16" s="171"/>
      <c r="CZ16" s="171"/>
      <c r="DA16" s="171"/>
      <c r="DB16" s="171"/>
      <c r="DC16" s="171"/>
      <c r="DD16" s="171"/>
      <c r="DE16" s="171"/>
      <c r="DF16" s="171"/>
      <c r="DG16" s="150"/>
      <c r="DH16"/>
      <c r="DI16"/>
      <c r="DJ16"/>
      <c r="DK16"/>
      <c r="DL16"/>
      <c r="DM16"/>
      <c r="DN16"/>
      <c r="DO16"/>
      <c r="DP16"/>
    </row>
    <row r="17" spans="1:120" s="121" customFormat="1" ht="18" customHeight="1" x14ac:dyDescent="0.3">
      <c r="A17" s="111" t="s">
        <v>158</v>
      </c>
      <c r="B17" s="111">
        <v>8</v>
      </c>
      <c r="C17" s="111"/>
      <c r="D17" s="111"/>
      <c r="E17" s="111"/>
      <c r="F17" s="111"/>
      <c r="G17" s="111">
        <v>0</v>
      </c>
      <c r="H17" s="160"/>
      <c r="I17" s="176" t="s">
        <v>160</v>
      </c>
      <c r="J17" s="185" t="s">
        <v>328</v>
      </c>
      <c r="K17" s="162" t="s">
        <v>315</v>
      </c>
      <c r="L17" s="163" t="s">
        <v>159</v>
      </c>
      <c r="M17" s="164" t="s">
        <v>58</v>
      </c>
      <c r="N17" s="162"/>
      <c r="O17" s="165"/>
      <c r="P17" s="166"/>
      <c r="Q17" s="166"/>
      <c r="R17" s="167"/>
      <c r="S17" s="166">
        <v>46004</v>
      </c>
      <c r="T17" s="166">
        <v>46006</v>
      </c>
      <c r="U17" s="167">
        <v>2</v>
      </c>
      <c r="V17" s="162"/>
      <c r="W17" s="162"/>
      <c r="X17" s="167"/>
      <c r="Y17" s="168">
        <v>0</v>
      </c>
      <c r="Z17" s="169">
        <v>0</v>
      </c>
      <c r="AA17" s="166"/>
      <c r="AB17" s="166"/>
      <c r="AC17" s="167"/>
      <c r="AD17" s="165"/>
      <c r="AE17" s="165"/>
      <c r="AF17" s="165"/>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70"/>
      <c r="BG17" s="170"/>
      <c r="BH17" s="170"/>
      <c r="BI17" s="162"/>
      <c r="BJ17" s="174"/>
      <c r="BK17" s="171"/>
      <c r="BL17" s="171"/>
      <c r="BM17" s="171"/>
      <c r="BN17" s="171"/>
      <c r="BO17" s="171"/>
      <c r="BP17" s="171"/>
      <c r="BQ17" s="171"/>
      <c r="BR17" s="171"/>
      <c r="BS17" s="171"/>
      <c r="BT17" s="171"/>
      <c r="BU17" s="171"/>
      <c r="BV17" s="171"/>
      <c r="BW17" s="171"/>
      <c r="BX17" s="171"/>
      <c r="BY17" s="171"/>
      <c r="BZ17" s="171"/>
      <c r="CA17" s="171"/>
      <c r="CB17" s="171"/>
      <c r="CC17" s="171"/>
      <c r="CD17" s="171"/>
      <c r="CE17" s="171"/>
      <c r="CF17" s="171"/>
      <c r="CG17" s="171"/>
      <c r="CH17" s="171"/>
      <c r="CI17" s="171"/>
      <c r="CJ17" s="171"/>
      <c r="CK17" s="171"/>
      <c r="CL17" s="171"/>
      <c r="CM17" s="171"/>
      <c r="CN17" s="171"/>
      <c r="CO17" s="171"/>
      <c r="CP17" s="171"/>
      <c r="CQ17" s="171"/>
      <c r="CR17" s="171"/>
      <c r="CS17" s="171"/>
      <c r="CT17" s="171"/>
      <c r="CU17" s="171"/>
      <c r="CV17" s="171"/>
      <c r="CW17" s="171"/>
      <c r="CX17" s="171"/>
      <c r="CY17" s="171"/>
      <c r="CZ17" s="171"/>
      <c r="DA17" s="171"/>
      <c r="DB17" s="171"/>
      <c r="DC17" s="171"/>
      <c r="DD17" s="171"/>
      <c r="DE17" s="171"/>
      <c r="DF17" s="171"/>
      <c r="DG17" s="150"/>
      <c r="DH17"/>
      <c r="DI17"/>
      <c r="DJ17"/>
      <c r="DK17"/>
      <c r="DL17"/>
      <c r="DM17"/>
      <c r="DN17"/>
      <c r="DO17"/>
      <c r="DP17"/>
    </row>
    <row r="18" spans="1:120" s="121" customFormat="1" ht="18" customHeight="1" x14ac:dyDescent="0.3">
      <c r="A18" s="111" t="s">
        <v>158</v>
      </c>
      <c r="B18" s="111">
        <v>9</v>
      </c>
      <c r="C18" s="111"/>
      <c r="D18" s="111"/>
      <c r="E18" s="111"/>
      <c r="F18" s="111"/>
      <c r="G18" s="111">
        <v>0</v>
      </c>
      <c r="H18" s="160"/>
      <c r="I18" s="176" t="s">
        <v>160</v>
      </c>
      <c r="J18" s="185" t="s">
        <v>123</v>
      </c>
      <c r="K18" s="162" t="s">
        <v>316</v>
      </c>
      <c r="L18" s="163" t="s">
        <v>159</v>
      </c>
      <c r="M18" s="164" t="s">
        <v>58</v>
      </c>
      <c r="N18" s="162"/>
      <c r="O18" s="165"/>
      <c r="P18" s="166"/>
      <c r="Q18" s="166"/>
      <c r="R18" s="167"/>
      <c r="S18" s="166">
        <v>46004</v>
      </c>
      <c r="T18" s="166">
        <v>46006</v>
      </c>
      <c r="U18" s="167">
        <v>1</v>
      </c>
      <c r="V18" s="162"/>
      <c r="W18" s="162"/>
      <c r="X18" s="167"/>
      <c r="Y18" s="168">
        <v>0</v>
      </c>
      <c r="Z18" s="169">
        <v>0</v>
      </c>
      <c r="AA18" s="166"/>
      <c r="AB18" s="166"/>
      <c r="AC18" s="167"/>
      <c r="AD18" s="165"/>
      <c r="AE18" s="165"/>
      <c r="AF18" s="165"/>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70"/>
      <c r="BG18" s="170"/>
      <c r="BH18" s="170"/>
      <c r="BI18" s="162"/>
      <c r="BJ18" s="174"/>
      <c r="BK18" s="171"/>
      <c r="BL18" s="171"/>
      <c r="BM18" s="171"/>
      <c r="BN18" s="171"/>
      <c r="BO18" s="171"/>
      <c r="BP18" s="171"/>
      <c r="BQ18" s="171"/>
      <c r="BR18" s="171"/>
      <c r="BS18" s="171"/>
      <c r="BT18" s="171"/>
      <c r="BU18" s="171"/>
      <c r="BV18" s="171"/>
      <c r="BW18" s="171"/>
      <c r="BX18" s="171"/>
      <c r="BY18" s="171"/>
      <c r="BZ18" s="171"/>
      <c r="CA18" s="171"/>
      <c r="CB18" s="171"/>
      <c r="CC18" s="171"/>
      <c r="CD18" s="171"/>
      <c r="CE18" s="171"/>
      <c r="CF18" s="171"/>
      <c r="CG18" s="171"/>
      <c r="CH18" s="171"/>
      <c r="CI18" s="171"/>
      <c r="CJ18" s="171"/>
      <c r="CK18" s="171"/>
      <c r="CL18" s="171"/>
      <c r="CM18" s="171"/>
      <c r="CN18" s="171"/>
      <c r="CO18" s="171"/>
      <c r="CP18" s="171"/>
      <c r="CQ18" s="171"/>
      <c r="CR18" s="171"/>
      <c r="CS18" s="171"/>
      <c r="CT18" s="171"/>
      <c r="CU18" s="171"/>
      <c r="CV18" s="171"/>
      <c r="CW18" s="171"/>
      <c r="CX18" s="171"/>
      <c r="CY18" s="171"/>
      <c r="CZ18" s="171"/>
      <c r="DA18" s="171"/>
      <c r="DB18" s="171"/>
      <c r="DC18" s="171"/>
      <c r="DD18" s="171"/>
      <c r="DE18" s="171"/>
      <c r="DF18" s="171"/>
      <c r="DG18" s="150"/>
      <c r="DH18"/>
      <c r="DI18"/>
      <c r="DJ18"/>
      <c r="DK18"/>
      <c r="DL18"/>
      <c r="DM18"/>
      <c r="DN18"/>
      <c r="DO18"/>
      <c r="DP18"/>
    </row>
    <row r="19" spans="1:120" s="121" customFormat="1" ht="18" customHeight="1" x14ac:dyDescent="0.3">
      <c r="A19" s="111" t="s">
        <v>158</v>
      </c>
      <c r="B19" s="111">
        <v>10</v>
      </c>
      <c r="C19" s="111"/>
      <c r="D19" s="111"/>
      <c r="E19" s="111"/>
      <c r="F19" s="111"/>
      <c r="G19" s="111">
        <v>0</v>
      </c>
      <c r="H19" s="160"/>
      <c r="I19" s="176" t="s">
        <v>160</v>
      </c>
      <c r="J19" s="185" t="s">
        <v>329</v>
      </c>
      <c r="K19" s="162" t="s">
        <v>332</v>
      </c>
      <c r="L19" s="163" t="s">
        <v>159</v>
      </c>
      <c r="M19" s="164" t="s">
        <v>58</v>
      </c>
      <c r="N19" s="162"/>
      <c r="O19" s="165"/>
      <c r="P19" s="166"/>
      <c r="Q19" s="166"/>
      <c r="R19" s="167"/>
      <c r="S19" s="166">
        <v>46004</v>
      </c>
      <c r="T19" s="166">
        <v>46006</v>
      </c>
      <c r="U19" s="167">
        <v>1</v>
      </c>
      <c r="V19" s="162"/>
      <c r="W19" s="162"/>
      <c r="X19" s="167"/>
      <c r="Y19" s="168">
        <v>0</v>
      </c>
      <c r="Z19" s="169">
        <v>0</v>
      </c>
      <c r="AA19" s="166"/>
      <c r="AB19" s="166"/>
      <c r="AC19" s="167"/>
      <c r="AD19" s="165"/>
      <c r="AE19" s="165"/>
      <c r="AF19" s="165"/>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70"/>
      <c r="BG19" s="170"/>
      <c r="BH19" s="170"/>
      <c r="BI19" s="162"/>
      <c r="BJ19" s="174"/>
      <c r="BK19" s="171"/>
      <c r="BL19" s="171"/>
      <c r="BM19" s="171"/>
      <c r="BN19" s="171"/>
      <c r="BO19" s="171"/>
      <c r="BP19" s="171"/>
      <c r="BQ19" s="171"/>
      <c r="BR19" s="171"/>
      <c r="BS19" s="171"/>
      <c r="BT19" s="171"/>
      <c r="BU19" s="171"/>
      <c r="BV19" s="171"/>
      <c r="BW19" s="171"/>
      <c r="BX19" s="171"/>
      <c r="BY19" s="171"/>
      <c r="BZ19" s="171"/>
      <c r="CA19" s="171"/>
      <c r="CB19" s="171"/>
      <c r="CC19" s="171"/>
      <c r="CD19" s="171"/>
      <c r="CE19" s="171"/>
      <c r="CF19" s="171"/>
      <c r="CG19" s="171"/>
      <c r="CH19" s="171"/>
      <c r="CI19" s="171"/>
      <c r="CJ19" s="171"/>
      <c r="CK19" s="171"/>
      <c r="CL19" s="171"/>
      <c r="CM19" s="171"/>
      <c r="CN19" s="171"/>
      <c r="CO19" s="171"/>
      <c r="CP19" s="171"/>
      <c r="CQ19" s="171"/>
      <c r="CR19" s="171"/>
      <c r="CS19" s="171"/>
      <c r="CT19" s="171"/>
      <c r="CU19" s="171"/>
      <c r="CV19" s="171"/>
      <c r="CW19" s="171"/>
      <c r="CX19" s="171"/>
      <c r="CY19" s="171"/>
      <c r="CZ19" s="171"/>
      <c r="DA19" s="171"/>
      <c r="DB19" s="171"/>
      <c r="DC19" s="171"/>
      <c r="DD19" s="171"/>
      <c r="DE19" s="171"/>
      <c r="DF19" s="171"/>
      <c r="DG19" s="150"/>
      <c r="DH19"/>
      <c r="DI19"/>
      <c r="DJ19"/>
      <c r="DK19"/>
      <c r="DL19"/>
      <c r="DM19"/>
      <c r="DN19"/>
      <c r="DO19"/>
      <c r="DP19"/>
    </row>
    <row r="20" spans="1:120" x14ac:dyDescent="0.3">
      <c r="H20" s="122"/>
      <c r="I20" s="122"/>
      <c r="J20" s="186"/>
      <c r="K20" s="175" t="s">
        <v>299</v>
      </c>
      <c r="L20" s="132"/>
      <c r="M20" s="122"/>
      <c r="N20" s="131"/>
      <c r="O20" s="133"/>
      <c r="P20" s="134"/>
      <c r="Q20" s="134"/>
      <c r="R20" s="133"/>
      <c r="S20" s="134"/>
      <c r="T20" s="134"/>
      <c r="U20" s="133"/>
      <c r="V20" s="131"/>
      <c r="W20" s="131"/>
      <c r="X20" s="133"/>
      <c r="Y20" s="122"/>
      <c r="Z20" s="135"/>
      <c r="AA20" s="134"/>
      <c r="AB20" s="134"/>
      <c r="AC20" s="133"/>
      <c r="AD20" s="133"/>
      <c r="AE20" s="133"/>
      <c r="AF20" s="133"/>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36"/>
      <c r="BG20" s="136"/>
      <c r="BH20" s="136"/>
      <c r="BI20" s="122"/>
      <c r="BJ20" s="172"/>
      <c r="BK20" s="172"/>
      <c r="BL20" s="172"/>
      <c r="BM20" s="172"/>
      <c r="BN20" s="172"/>
      <c r="BO20" s="172"/>
      <c r="BP20" s="172"/>
      <c r="BQ20" s="172"/>
      <c r="BR20" s="172"/>
      <c r="BS20" s="172"/>
      <c r="BT20" s="172"/>
      <c r="BU20" s="172"/>
      <c r="BV20" s="172"/>
      <c r="BW20" s="172"/>
      <c r="BX20" s="172"/>
      <c r="BY20" s="172"/>
      <c r="BZ20" s="172"/>
      <c r="CA20" s="172"/>
      <c r="CB20" s="172"/>
      <c r="CC20" s="172"/>
      <c r="CD20" s="172"/>
      <c r="CE20" s="172"/>
      <c r="CF20" s="172"/>
      <c r="CG20" s="172"/>
      <c r="CH20" s="172"/>
      <c r="CI20" s="172"/>
      <c r="CJ20" s="172"/>
      <c r="CK20" s="172"/>
      <c r="CL20" s="172"/>
      <c r="CM20" s="172"/>
      <c r="CN20" s="172"/>
      <c r="CO20" s="172"/>
      <c r="CP20" s="172"/>
      <c r="CQ20" s="172"/>
      <c r="CR20" s="172"/>
      <c r="CS20" s="172"/>
      <c r="CT20" s="172"/>
      <c r="CU20" s="172"/>
      <c r="CV20" s="172"/>
      <c r="CW20" s="172"/>
      <c r="CX20" s="172"/>
      <c r="CY20" s="172"/>
      <c r="CZ20" s="172"/>
      <c r="DA20" s="172"/>
      <c r="DB20" s="172"/>
      <c r="DC20" s="172"/>
      <c r="DD20" s="172"/>
      <c r="DE20" s="172"/>
      <c r="DF20" s="172"/>
    </row>
    <row r="21" spans="1:120" x14ac:dyDescent="0.3">
      <c r="H21" s="123"/>
      <c r="I21" s="123"/>
      <c r="J21" s="187"/>
      <c r="K21" s="124"/>
      <c r="L21" s="125"/>
      <c r="M21" s="123"/>
      <c r="N21" s="124"/>
      <c r="O21" s="126"/>
      <c r="P21" s="127"/>
      <c r="Q21" s="127"/>
      <c r="R21" s="126"/>
      <c r="S21" s="127"/>
      <c r="T21" s="127"/>
      <c r="U21" s="126"/>
      <c r="V21" s="124"/>
      <c r="W21" s="124"/>
      <c r="X21" s="126"/>
      <c r="Y21" s="123"/>
      <c r="Z21" s="128"/>
      <c r="AA21" s="127"/>
      <c r="AB21" s="127"/>
      <c r="AC21" s="126"/>
      <c r="AD21" s="126"/>
      <c r="AE21" s="126"/>
      <c r="AF21" s="126"/>
      <c r="AG21" s="123"/>
      <c r="AH21" s="123"/>
      <c r="AI21" s="123"/>
      <c r="AJ21" s="123"/>
      <c r="AK21" s="123"/>
      <c r="AL21" s="123"/>
      <c r="AM21" s="123"/>
      <c r="AN21" s="123"/>
      <c r="AO21" s="123"/>
      <c r="AP21" s="123"/>
      <c r="AQ21" s="123"/>
      <c r="AR21" s="123"/>
      <c r="AS21" s="123"/>
      <c r="AT21" s="123"/>
      <c r="AU21" s="123"/>
      <c r="AV21" s="123"/>
      <c r="AW21" s="123"/>
      <c r="AX21" s="123"/>
      <c r="AY21" s="123"/>
      <c r="AZ21" s="123"/>
      <c r="BA21" s="123"/>
      <c r="BB21" s="123"/>
      <c r="BC21" s="123"/>
      <c r="BD21" s="123"/>
      <c r="BE21" s="123"/>
      <c r="BF21" s="129"/>
      <c r="BG21" s="129"/>
      <c r="BH21" s="129"/>
      <c r="BI21" s="123"/>
      <c r="BJ21" s="130"/>
      <c r="BK21" s="130"/>
      <c r="BL21" s="130"/>
      <c r="BM21" s="130"/>
      <c r="BN21" s="130"/>
      <c r="BO21" s="130"/>
      <c r="BP21" s="130"/>
      <c r="BQ21" s="130"/>
      <c r="BR21" s="130"/>
      <c r="BS21" s="130"/>
      <c r="BT21" s="130"/>
      <c r="BU21" s="130"/>
      <c r="BV21" s="130"/>
      <c r="BW21" s="130"/>
      <c r="BX21" s="130"/>
      <c r="BY21" s="130"/>
      <c r="BZ21" s="130"/>
      <c r="CA21" s="130"/>
      <c r="CB21" s="130"/>
      <c r="CC21" s="130"/>
      <c r="CD21" s="130"/>
      <c r="CE21" s="130"/>
      <c r="CF21" s="130"/>
      <c r="CG21" s="130"/>
      <c r="CH21" s="130"/>
      <c r="CI21" s="130"/>
      <c r="CJ21" s="130"/>
      <c r="CK21" s="130"/>
      <c r="CL21" s="130"/>
      <c r="CM21" s="130"/>
      <c r="CN21" s="130"/>
      <c r="CO21" s="130"/>
      <c r="CP21" s="130"/>
      <c r="CQ21" s="130"/>
      <c r="CR21" s="130"/>
      <c r="CS21" s="130"/>
      <c r="CT21" s="130"/>
      <c r="CU21" s="130"/>
      <c r="CV21" s="130"/>
      <c r="CW21" s="130"/>
      <c r="CX21" s="130"/>
      <c r="CY21" s="130"/>
      <c r="CZ21" s="130"/>
      <c r="DA21" s="130"/>
      <c r="DB21" s="130"/>
      <c r="DC21" s="130"/>
      <c r="DD21" s="130"/>
      <c r="DE21" s="130"/>
      <c r="DF21" s="130"/>
    </row>
  </sheetData>
  <conditionalFormatting sqref="Z10:Z19">
    <cfRule type="dataBar" priority="2">
      <dataBar>
        <cfvo type="min"/>
        <cfvo type="max"/>
        <color rgb="FF92D050"/>
      </dataBar>
      <extLst>
        <ext xmlns:x14="http://schemas.microsoft.com/office/spreadsheetml/2009/9/main" uri="{B025F937-C7B1-47D3-B67F-A62EFF666E3E}">
          <x14:id>{A7E42573-0925-4B7A-8A57-98A630EF9C8B}</x14:id>
        </ext>
      </extLst>
    </cfRule>
  </conditionalFormatting>
  <pageMargins left="0.7" right="0.7" top="0.75" bottom="0.75" header="0.3" footer="0.3"/>
  <ignoredErrors>
    <ignoredError sqref="J10:J19" numberStoredAsText="1"/>
  </ignoredErrors>
  <drawing r:id="rId1"/>
  <extLst>
    <ext xmlns:x14="http://schemas.microsoft.com/office/spreadsheetml/2009/9/main" uri="{78C0D931-6437-407d-A8EE-F0AAD7539E65}">
      <x14:conditionalFormattings>
        <x14:conditionalFormatting xmlns:xm="http://schemas.microsoft.com/office/excel/2006/main">
          <x14:cfRule type="dataBar" id="{A7E42573-0925-4B7A-8A57-98A630EF9C8B}">
            <x14:dataBar minLength="0" maxLength="100" negativeBarColorSameAsPositive="1" axisPosition="none">
              <x14:cfvo type="autoMin"/>
              <x14:cfvo type="autoMax"/>
            </x14:dataBar>
          </x14:cfRule>
          <xm:sqref>Z10:Z19</xm:sqref>
        </x14:conditionalFormatting>
        <x14:conditionalFormatting xmlns:xm="http://schemas.microsoft.com/office/excel/2006/main">
          <x14:cfRule type="iconSet" priority="1" id="{C56898B4-0414-460E-9624-977CB1A64726}">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Y10:Y19</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6640625" defaultRowHeight="14.4" x14ac:dyDescent="0.3"/>
  <cols>
    <col min="1" max="1" width="9.33203125" customWidth="1"/>
    <col min="2" max="2" width="1" customWidth="1"/>
    <col min="3" max="3" width="6.33203125" customWidth="1"/>
    <col min="4" max="4" width="1.33203125" customWidth="1"/>
    <col min="5" max="18" width="9.33203125" customWidth="1"/>
    <col min="19" max="19" width="8.33203125" customWidth="1"/>
    <col min="20" max="21" width="9.33203125" customWidth="1"/>
    <col min="22" max="22" width="2" customWidth="1"/>
    <col min="23" max="23" width="0.6640625" customWidth="1"/>
    <col min="24" max="61" width="9.33203125" customWidth="1"/>
  </cols>
  <sheetData>
    <row r="2" spans="2:23 15055:15056" ht="5.25" customHeight="1" x14ac:dyDescent="0.3">
      <c r="B2" s="9"/>
      <c r="C2" s="9" t="s">
        <v>2</v>
      </c>
      <c r="D2" s="9"/>
      <c r="E2" s="9"/>
      <c r="F2" s="9"/>
      <c r="G2" s="9"/>
      <c r="H2" s="9"/>
      <c r="I2" s="9"/>
      <c r="J2" s="9"/>
      <c r="K2" s="9"/>
      <c r="L2" s="9"/>
      <c r="M2" s="9"/>
      <c r="N2" s="9"/>
      <c r="O2" s="9"/>
      <c r="P2" s="9"/>
      <c r="Q2" s="9"/>
      <c r="R2" s="9"/>
      <c r="S2" s="9"/>
      <c r="T2" s="9"/>
      <c r="U2" s="9"/>
      <c r="V2" s="9"/>
      <c r="W2" s="9"/>
    </row>
    <row r="3" spans="2:23 15055:15056" ht="15" customHeight="1" x14ac:dyDescent="0.3">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3">
      <c r="B4" s="9"/>
      <c r="C4" s="1"/>
      <c r="D4" s="1"/>
      <c r="H4" s="198" t="s">
        <v>152</v>
      </c>
      <c r="I4" s="198"/>
      <c r="J4" s="198"/>
      <c r="K4" s="198"/>
      <c r="L4" s="198"/>
      <c r="M4" s="198"/>
      <c r="N4" s="198"/>
      <c r="O4" s="198"/>
      <c r="P4" s="198"/>
      <c r="Q4" s="198"/>
      <c r="R4" s="198"/>
      <c r="S4" s="198"/>
      <c r="T4" s="1"/>
      <c r="U4" s="1"/>
      <c r="V4" s="1"/>
      <c r="W4" s="9"/>
    </row>
    <row r="5" spans="2:23 15055:15056" ht="15" customHeight="1" x14ac:dyDescent="0.7">
      <c r="B5" s="9"/>
      <c r="C5" s="1"/>
      <c r="D5" s="1" t="s">
        <v>248</v>
      </c>
      <c r="G5" s="23"/>
      <c r="H5" s="198"/>
      <c r="I5" s="198"/>
      <c r="J5" s="198"/>
      <c r="K5" s="198"/>
      <c r="L5" s="198"/>
      <c r="M5" s="198"/>
      <c r="N5" s="198"/>
      <c r="O5" s="198"/>
      <c r="P5" s="198"/>
      <c r="Q5" s="198"/>
      <c r="R5" s="198"/>
      <c r="S5" s="198"/>
      <c r="W5" s="9"/>
    </row>
    <row r="6" spans="2:23 15055:15056" ht="35.700000000000003" customHeight="1" x14ac:dyDescent="0.3">
      <c r="B6" s="9"/>
      <c r="C6" s="1"/>
      <c r="D6" s="1"/>
      <c r="K6" s="13"/>
      <c r="L6" s="13"/>
      <c r="M6" s="13"/>
      <c r="N6" s="13"/>
      <c r="O6" s="13"/>
      <c r="P6" s="13"/>
      <c r="Q6" s="1"/>
      <c r="R6" s="1"/>
      <c r="S6" s="14"/>
      <c r="T6" s="1"/>
      <c r="U6" s="1"/>
      <c r="V6" s="1"/>
      <c r="W6" s="9"/>
    </row>
    <row r="7" spans="2:23 15055:15056" ht="15" customHeight="1" x14ac:dyDescent="0.3">
      <c r="B7" s="9"/>
      <c r="C7" s="15" t="s">
        <v>247</v>
      </c>
      <c r="D7" s="1"/>
      <c r="K7" s="13"/>
      <c r="L7" s="13"/>
      <c r="M7" s="13"/>
      <c r="N7" s="13"/>
      <c r="O7" s="13"/>
      <c r="P7" s="13"/>
      <c r="Q7" s="1"/>
      <c r="R7" s="1"/>
      <c r="S7" s="14"/>
      <c r="T7" s="1"/>
      <c r="U7" s="1"/>
      <c r="V7" s="1"/>
      <c r="W7" s="9"/>
    </row>
    <row r="8" spans="2:23 15055:15056" ht="4.2" customHeight="1" x14ac:dyDescent="0.3">
      <c r="B8" s="9"/>
      <c r="C8" s="9"/>
      <c r="D8" s="9"/>
      <c r="E8" s="9"/>
      <c r="F8" s="9"/>
      <c r="G8" s="9"/>
      <c r="H8" s="9"/>
      <c r="I8" s="9"/>
      <c r="J8" s="9"/>
      <c r="K8" s="16"/>
      <c r="L8" s="16"/>
      <c r="M8" s="16"/>
      <c r="N8" s="16"/>
      <c r="O8" s="16"/>
      <c r="P8" s="16"/>
      <c r="Q8" s="9"/>
      <c r="R8" s="9"/>
      <c r="S8" s="17"/>
      <c r="T8" s="9"/>
      <c r="U8" s="9"/>
      <c r="V8" s="9"/>
      <c r="W8" s="9"/>
    </row>
    <row r="9" spans="2:23 15055:15056" ht="45.75" customHeight="1" x14ac:dyDescent="0.3">
      <c r="B9" s="9"/>
      <c r="G9" s="197" t="s">
        <v>1</v>
      </c>
      <c r="H9" s="197"/>
      <c r="I9" s="197"/>
      <c r="J9" s="197"/>
      <c r="K9" s="197"/>
      <c r="L9" s="197"/>
      <c r="M9" s="197"/>
      <c r="N9" s="197"/>
      <c r="O9" s="197"/>
      <c r="P9" s="197"/>
      <c r="Q9" s="197"/>
      <c r="R9" s="197"/>
      <c r="S9" s="197"/>
      <c r="W9" s="9"/>
    </row>
    <row r="10" spans="2:23 15055:15056" ht="15" customHeight="1" x14ac:dyDescent="0.35">
      <c r="B10" s="9"/>
      <c r="C10">
        <v>1</v>
      </c>
      <c r="D10" s="18">
        <v>1</v>
      </c>
      <c r="E10" s="19" t="s">
        <v>80</v>
      </c>
      <c r="F10" s="1"/>
      <c r="G10" s="197"/>
      <c r="H10" s="197"/>
      <c r="I10" s="197"/>
      <c r="J10" s="197"/>
      <c r="K10" s="197"/>
      <c r="L10" s="197"/>
      <c r="M10" s="197"/>
      <c r="N10" s="197"/>
      <c r="O10" s="197"/>
      <c r="P10" s="197"/>
      <c r="Q10" s="197"/>
      <c r="R10" s="197"/>
      <c r="S10" s="197"/>
      <c r="T10" s="20"/>
      <c r="U10" s="20"/>
      <c r="V10" s="20"/>
      <c r="W10" s="9"/>
    </row>
    <row r="11" spans="2:23 15055:15056" ht="15" customHeight="1" x14ac:dyDescent="0.3">
      <c r="B11" s="9"/>
      <c r="E11" s="195" t="s">
        <v>70</v>
      </c>
      <c r="F11" s="196"/>
      <c r="G11" s="196"/>
      <c r="H11" s="196"/>
      <c r="I11" s="196"/>
      <c r="W11" s="9"/>
    </row>
    <row r="12" spans="2:23 15055:15056" ht="15" customHeight="1" x14ac:dyDescent="0.3">
      <c r="B12" s="9"/>
      <c r="W12" s="9"/>
    </row>
    <row r="13" spans="2:23 15055:15056" ht="15" customHeight="1" x14ac:dyDescent="0.35">
      <c r="B13" s="9"/>
      <c r="C13">
        <v>2</v>
      </c>
      <c r="E13" s="19" t="s">
        <v>153</v>
      </c>
      <c r="W13" s="9"/>
    </row>
    <row r="14" spans="2:23 15055:15056" ht="15" customHeight="1" x14ac:dyDescent="0.3">
      <c r="B14" s="9"/>
      <c r="W14" s="9"/>
    </row>
    <row r="15" spans="2:23 15055:15056" ht="15" customHeight="1" x14ac:dyDescent="0.3">
      <c r="B15" s="9"/>
      <c r="W15" s="9"/>
    </row>
    <row r="16" spans="2:23 15055:15056" ht="15" customHeight="1" x14ac:dyDescent="0.3">
      <c r="B16" s="9"/>
      <c r="W16" s="9"/>
    </row>
    <row r="17" spans="2:23" ht="15" customHeight="1" x14ac:dyDescent="0.3">
      <c r="B17" s="9"/>
      <c r="W17" s="9"/>
    </row>
    <row r="18" spans="2:23" ht="15" customHeight="1" x14ac:dyDescent="0.3">
      <c r="B18" s="9"/>
      <c r="W18" s="9"/>
    </row>
    <row r="19" spans="2:23" ht="15" customHeight="1" x14ac:dyDescent="0.3">
      <c r="B19" s="9"/>
      <c r="W19" s="9"/>
    </row>
    <row r="20" spans="2:23" ht="15" customHeight="1" x14ac:dyDescent="0.3">
      <c r="B20" s="9"/>
      <c r="W20" s="9"/>
    </row>
    <row r="21" spans="2:23" ht="15" customHeight="1" x14ac:dyDescent="0.3">
      <c r="B21" s="9"/>
      <c r="W21" s="9"/>
    </row>
    <row r="22" spans="2:23" ht="15" customHeight="1" x14ac:dyDescent="0.3">
      <c r="B22" s="9"/>
      <c r="E22" s="195" t="s">
        <v>245</v>
      </c>
      <c r="F22" s="196"/>
      <c r="G22" s="196"/>
      <c r="H22" s="196"/>
      <c r="W22" s="9"/>
    </row>
    <row r="23" spans="2:23" ht="15" customHeight="1" x14ac:dyDescent="0.3">
      <c r="B23" s="9"/>
      <c r="E23" s="195" t="s">
        <v>0</v>
      </c>
      <c r="F23" s="196"/>
      <c r="G23" s="196"/>
      <c r="H23" s="196"/>
      <c r="W23" s="9"/>
    </row>
    <row r="24" spans="2:23" ht="15" customHeight="1" x14ac:dyDescent="0.3">
      <c r="B24" s="9"/>
      <c r="W24" s="9"/>
    </row>
    <row r="25" spans="2:23" ht="3.75" customHeight="1" x14ac:dyDescent="0.3">
      <c r="B25" s="9"/>
      <c r="C25" s="9"/>
      <c r="D25" s="9"/>
      <c r="E25" s="9"/>
      <c r="F25" s="9"/>
      <c r="G25" s="9"/>
      <c r="H25" s="9"/>
      <c r="I25" s="9"/>
      <c r="J25" s="9"/>
      <c r="K25" s="9"/>
      <c r="L25" s="9"/>
      <c r="M25" s="9"/>
      <c r="N25" s="9"/>
      <c r="O25" s="9"/>
      <c r="P25" s="9"/>
      <c r="Q25" s="9"/>
      <c r="R25" s="9"/>
      <c r="S25" s="9"/>
      <c r="T25" s="9"/>
      <c r="U25" s="9"/>
      <c r="V25" s="9"/>
      <c r="W25" s="9"/>
    </row>
    <row r="26" spans="2:23" ht="15" customHeight="1" x14ac:dyDescent="0.3"/>
    <row r="31" spans="2:23" x14ac:dyDescent="0.3">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70AB9110-C482-4BCC-8175-05EF8732816C}"/>
    <hyperlink ref="E22" r:id="rId2" tooltip="Quick Start Guide" xr:uid="{3AA1FE0D-1D0A-48ED-ACA2-94A2E5A5E737}"/>
    <hyperlink ref="E23" r:id="rId3" tooltip="Click Here For Documentation" xr:uid="{3E66EFF9-A1C9-463F-AB83-AA00652D65BC}"/>
  </hyperlinks>
  <pageMargins left="0.7" right="0.7" top="0.75" bottom="0.75" header="0.3" footer="0.3"/>
  <pageSetup paperSize="9" orientation="portrait" r:id="rId4"/>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7EE73-89F3-4981-9138-36AB25713B4F}">
  <dimension ref="A1:T2"/>
  <sheetViews>
    <sheetView workbookViewId="0"/>
  </sheetViews>
  <sheetFormatPr defaultRowHeight="14.4" x14ac:dyDescent="0.3"/>
  <sheetData>
    <row r="1" spans="1:20" x14ac:dyDescent="0.3">
      <c r="A1" t="s">
        <v>216</v>
      </c>
      <c r="B1" t="s">
        <v>253</v>
      </c>
      <c r="C1" t="s">
        <v>254</v>
      </c>
      <c r="D1" t="s">
        <v>255</v>
      </c>
      <c r="K1" t="s">
        <v>256</v>
      </c>
      <c r="L1" t="s">
        <v>257</v>
      </c>
      <c r="M1" t="s">
        <v>258</v>
      </c>
      <c r="N1" t="s">
        <v>259</v>
      </c>
      <c r="O1" t="s">
        <v>260</v>
      </c>
      <c r="P1" t="s">
        <v>261</v>
      </c>
      <c r="Q1" t="s">
        <v>262</v>
      </c>
      <c r="R1" t="s">
        <v>263</v>
      </c>
      <c r="S1" t="s">
        <v>264</v>
      </c>
      <c r="T1" t="s">
        <v>265</v>
      </c>
    </row>
    <row r="2" spans="1:20" x14ac:dyDescent="0.3">
      <c r="A2" t="s">
        <v>266</v>
      </c>
      <c r="C2" t="b">
        <v>0</v>
      </c>
      <c r="E2" s="18" t="s">
        <v>267</v>
      </c>
      <c r="K2" s="110">
        <v>0.375</v>
      </c>
      <c r="L2" s="110">
        <v>0.75</v>
      </c>
      <c r="M2">
        <v>0</v>
      </c>
      <c r="N2">
        <v>1</v>
      </c>
      <c r="O2">
        <v>1</v>
      </c>
      <c r="P2">
        <v>1</v>
      </c>
      <c r="Q2">
        <v>1</v>
      </c>
      <c r="R2">
        <v>1</v>
      </c>
      <c r="S2">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0B7B4-D407-4AAB-9E7D-E2282C275242}">
  <dimension ref="A1:DC7"/>
  <sheetViews>
    <sheetView workbookViewId="0"/>
  </sheetViews>
  <sheetFormatPr defaultRowHeight="14.4" x14ac:dyDescent="0.3"/>
  <sheetData>
    <row r="1" spans="1:107" x14ac:dyDescent="0.3">
      <c r="A1" s="52" t="s">
        <v>128</v>
      </c>
      <c r="B1" s="52"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238</v>
      </c>
      <c r="V1" t="s">
        <v>239</v>
      </c>
      <c r="W1" t="s">
        <v>240</v>
      </c>
      <c r="X1" t="s">
        <v>241</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2" t="s">
        <v>81</v>
      </c>
      <c r="AP1" s="52" t="s">
        <v>82</v>
      </c>
      <c r="AQ1" s="52" t="s">
        <v>83</v>
      </c>
      <c r="AR1" s="52" t="s">
        <v>84</v>
      </c>
      <c r="AS1" s="52" t="s">
        <v>90</v>
      </c>
      <c r="AT1" s="52" t="s">
        <v>146</v>
      </c>
      <c r="AU1" s="52" t="s">
        <v>85</v>
      </c>
      <c r="AV1" s="52" t="s">
        <v>86</v>
      </c>
      <c r="AW1" s="52" t="s">
        <v>87</v>
      </c>
      <c r="AX1" s="52" t="s">
        <v>98</v>
      </c>
      <c r="AY1" s="52" t="s">
        <v>88</v>
      </c>
      <c r="AZ1" s="52" t="s">
        <v>89</v>
      </c>
      <c r="BA1" s="52" t="s">
        <v>116</v>
      </c>
      <c r="BB1" s="52" t="s">
        <v>147</v>
      </c>
      <c r="BC1" s="52" t="s">
        <v>91</v>
      </c>
      <c r="BD1" s="52" t="s">
        <v>92</v>
      </c>
      <c r="BE1" s="52" t="s">
        <v>93</v>
      </c>
      <c r="BF1" s="52" t="s">
        <v>121</v>
      </c>
      <c r="BG1" s="52" t="s">
        <v>122</v>
      </c>
      <c r="BH1" s="52" t="s">
        <v>94</v>
      </c>
      <c r="BI1" s="52" t="s">
        <v>114</v>
      </c>
      <c r="BJ1" s="52" t="s">
        <v>95</v>
      </c>
      <c r="BK1" s="52" t="s">
        <v>96</v>
      </c>
      <c r="BL1" s="52" t="s">
        <v>97</v>
      </c>
      <c r="BM1" s="52" t="s">
        <v>132</v>
      </c>
      <c r="BN1" s="52" t="s">
        <v>135</v>
      </c>
      <c r="BO1" s="52" t="s">
        <v>136</v>
      </c>
      <c r="BP1" s="52" t="s">
        <v>137</v>
      </c>
      <c r="BQ1" s="52" t="s">
        <v>138</v>
      </c>
      <c r="BR1" s="52" t="s">
        <v>139</v>
      </c>
      <c r="BS1" s="52" t="s">
        <v>140</v>
      </c>
      <c r="BT1" s="52"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242</v>
      </c>
      <c r="CY1" t="s">
        <v>243</v>
      </c>
      <c r="CZ1" t="s">
        <v>229</v>
      </c>
      <c r="DA1" t="s">
        <v>237</v>
      </c>
      <c r="DB1" t="s">
        <v>244</v>
      </c>
      <c r="DC1" t="s">
        <v>246</v>
      </c>
    </row>
    <row r="2" spans="1:107" x14ac:dyDescent="0.3">
      <c r="A2" t="s">
        <v>113</v>
      </c>
      <c r="B2">
        <v>1</v>
      </c>
      <c r="C2" t="s">
        <v>28</v>
      </c>
      <c r="D2" t="s">
        <v>63</v>
      </c>
      <c r="E2" t="b">
        <v>1</v>
      </c>
      <c r="F2" s="2" t="s">
        <v>8</v>
      </c>
      <c r="G2" s="53">
        <v>0</v>
      </c>
      <c r="H2" s="53">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0</v>
      </c>
      <c r="AJ2" t="b">
        <v>0</v>
      </c>
      <c r="AK2" t="b">
        <v>0</v>
      </c>
      <c r="AL2" t="s">
        <v>68</v>
      </c>
      <c r="AM2" t="s">
        <v>69</v>
      </c>
      <c r="AO2" t="s">
        <v>77</v>
      </c>
      <c r="AP2" t="s">
        <v>76</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480</v>
      </c>
      <c r="BU2" s="74">
        <v>48</v>
      </c>
      <c r="BV2">
        <v>6</v>
      </c>
      <c r="BW2">
        <v>2</v>
      </c>
      <c r="BX2">
        <v>1</v>
      </c>
      <c r="BY2">
        <v>1</v>
      </c>
      <c r="BZ2">
        <v>1</v>
      </c>
      <c r="CA2">
        <v>3</v>
      </c>
      <c r="CB2">
        <v>3</v>
      </c>
      <c r="CC2">
        <v>6</v>
      </c>
      <c r="CD2">
        <v>8</v>
      </c>
      <c r="CE2">
        <v>10</v>
      </c>
      <c r="CF2">
        <v>12</v>
      </c>
      <c r="CG2">
        <v>15</v>
      </c>
      <c r="CH2" t="b">
        <v>1</v>
      </c>
      <c r="CI2" s="2" t="b">
        <v>1</v>
      </c>
      <c r="CJ2" s="75">
        <v>46020</v>
      </c>
      <c r="CK2" s="75">
        <v>46068</v>
      </c>
      <c r="CL2" t="s">
        <v>298</v>
      </c>
      <c r="CM2" t="b">
        <v>1</v>
      </c>
      <c r="CN2" t="b">
        <v>1</v>
      </c>
      <c r="CO2" t="b">
        <v>1</v>
      </c>
      <c r="CP2" t="b">
        <v>1</v>
      </c>
      <c r="CQ2" t="b">
        <v>1</v>
      </c>
      <c r="CR2">
        <v>2000</v>
      </c>
      <c r="CS2">
        <v>2050</v>
      </c>
      <c r="CT2" s="22">
        <v>36526</v>
      </c>
      <c r="CU2" s="22">
        <v>54789</v>
      </c>
      <c r="CV2" s="22">
        <v>45764</v>
      </c>
      <c r="CW2" t="b">
        <v>0</v>
      </c>
      <c r="CX2" t="b">
        <v>0</v>
      </c>
      <c r="CY2" t="b">
        <v>0</v>
      </c>
      <c r="CZ2" t="b">
        <v>1</v>
      </c>
      <c r="DA2" t="b">
        <v>1</v>
      </c>
      <c r="DB2" t="s">
        <v>251</v>
      </c>
      <c r="DC2" t="b">
        <v>0</v>
      </c>
    </row>
    <row r="3" spans="1:107" x14ac:dyDescent="0.3">
      <c r="AO3" t="s">
        <v>76</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107" x14ac:dyDescent="0.3">
      <c r="AO4" t="s">
        <v>78</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107" x14ac:dyDescent="0.3">
      <c r="AO5" t="s">
        <v>75</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107" x14ac:dyDescent="0.3">
      <c r="AO6" t="s">
        <v>79</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107" x14ac:dyDescent="0.3">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Project Dashboard</vt:lpstr>
      <vt:lpstr>Project Plan</vt:lpstr>
      <vt:lpstr>Help</vt:lpstr>
      <vt:lpstr>GanttDashboardTemplate!Print_Area</vt:lpstr>
      <vt:lpstr>'Project Dashboard'!Print_Area</vt:lpstr>
      <vt:lpstr>GanttDashboardTemplate!Print_Titles</vt:lpstr>
      <vt:lpstr>'Project Dashboard'!Print_Titles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Rahul Gangrade</cp:lastModifiedBy>
  <cp:revision>0</cp:revision>
  <cp:lastPrinted>2022-02-09T18:07:13Z</cp:lastPrinted>
  <dcterms:created xsi:type="dcterms:W3CDTF">2016-09-10T13:03:48Z</dcterms:created>
  <dcterms:modified xsi:type="dcterms:W3CDTF">2025-12-13T16:19:16Z</dcterms:modified>
  <cp:category>Excel Template</cp:category>
  <cp:version>3.0</cp:version>
</cp:coreProperties>
</file>